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2336" tabRatio="888"/>
  </bookViews>
  <sheets>
    <sheet name="Tong_quan" sheetId="1" r:id="rId1"/>
    <sheet name="Ke_hoach_10_tuan" sheetId="2" r:id="rId2"/>
    <sheet name="Quy_trinh_06" sheetId="3" r:id="rId3"/>
    <sheet name="Quy_trinh_10" sheetId="4" r:id="rId4"/>
    <sheet name="Cau_hoi_phong_van" sheetId="5" r:id="rId5"/>
    <sheet name="Checklist_Rubric" sheetId="6" r:id="rId6"/>
    <sheet name="GitHub" sheetId="7" r:id="rId7"/>
  </sheets>
  <definedNames>
    <definedName name="_xlnm._FilterDatabase" localSheetId="4" hidden="1">Cau_hoi_phong_van!$A$5:$G$25</definedName>
  </definedNames>
  <calcPr calcId="162913"/>
</workbook>
</file>

<file path=xl/calcChain.xml><?xml version="1.0" encoding="utf-8"?>
<calcChain xmlns="http://schemas.openxmlformats.org/spreadsheetml/2006/main">
  <c r="K15" i="2" l="1"/>
  <c r="K14" i="2"/>
  <c r="K13" i="2"/>
  <c r="K12" i="2"/>
  <c r="K11" i="2"/>
  <c r="K10" i="2"/>
  <c r="K9" i="2"/>
  <c r="K8" i="2"/>
  <c r="K7" i="2"/>
  <c r="K6" i="2"/>
  <c r="B11" i="1"/>
</calcChain>
</file>

<file path=xl/sharedStrings.xml><?xml version="1.0" encoding="utf-8"?>
<sst xmlns="http://schemas.openxmlformats.org/spreadsheetml/2006/main" count="993" uniqueCount="699">
  <si>
    <t>KẾ HOẠCH TRIỂN KHAI QUY TRÌNH 06 &amp; 10 – NGUYỄN THỊ HIỀN</t>
  </si>
  <si>
    <t>Bối cảnh: Công ty phát triển phần mềm Outsourcing | Quy trình 06: Triển khai &amp; nghiệm thu | Quy trình 10: Mua sắm &amp; quản lý tài sản CNTT</t>
  </si>
  <si>
    <t>TỔNG QUAN TIẾN ĐỘ</t>
  </si>
  <si>
    <t>PHẠM VI 2 QUY TRÌNH</t>
  </si>
  <si>
    <t>Chỉ số</t>
  </si>
  <si>
    <t>Giá trị</t>
  </si>
  <si>
    <t>Mã</t>
  </si>
  <si>
    <t>Nhóm BPM</t>
  </si>
  <si>
    <t>Tên quy trình</t>
  </si>
  <si>
    <t>Khách hàng chính</t>
  </si>
  <si>
    <t>Kết quả đích</t>
  </si>
  <si>
    <t>Số tuần kế hoạch</t>
  </si>
  <si>
    <t>06</t>
  </si>
  <si>
    <t>Core</t>
  </si>
  <si>
    <t>Triển khai và nghiệm thu phần mềm</t>
  </si>
  <si>
    <t>Khách hàng/PO/UAT users</t>
  </si>
  <si>
    <t>Bản phát hành ổn định, được nghiệm thu và bàn giao</t>
  </si>
  <si>
    <t>Số quy trình phụ trách</t>
  </si>
  <si>
    <t>10</t>
  </si>
  <si>
    <t>Support</t>
  </si>
  <si>
    <t>Mua sắm và quản lý tài sản CNTT</t>
  </si>
  <si>
    <t>Dự án/nhân viên/bộ phận IT</t>
  </si>
  <si>
    <t>Tài sản đúng nhu cầu, được ghi nhận và quản lý vòng đời</t>
  </si>
  <si>
    <t>Số câu hỏi phỏng vấn</t>
  </si>
  <si>
    <t>Số gateway mục tiêu</t>
  </si>
  <si>
    <t>Tỷ lệ hoàn thành</t>
  </si>
  <si>
    <t>CÁC ĐIỂM RUBRIC PHẢI BÁM</t>
  </si>
  <si>
    <t>Nhóm tiêu chí</t>
  </si>
  <si>
    <t>Yêu cầu phải thể hiện</t>
  </si>
  <si>
    <t>Cách triển khai cho câu 6 và câu 10</t>
  </si>
  <si>
    <t>Mô tả quy trình</t>
  </si>
  <si>
    <t>Tác nhân; các bước; đối tượng khách hàng; các khả năng kết quả</t>
  </si>
  <si>
    <t>Mỗi quy trình có bảng tổng quan và bảng bước chi tiết</t>
  </si>
  <si>
    <t>Mô hình hóa BPMN</t>
  </si>
  <si>
    <t>Đúng ký hiệu; Split &amp; Join; có cổng điều kiện; độ phức tạp cao</t>
  </si>
  <si>
    <t>Mục tiêu mỗi sơ đồ có ít nhất 8 gateway hợp lý, không thêm gateway giả</t>
  </si>
  <si>
    <t>Phương pháp</t>
  </si>
  <si>
    <t>Bằng chứng; biểu mẫu; câu hỏi phỏng vấn</t>
  </si>
  <si>
    <t>Lập sổ bằng chứng + 20 câu hỏi (10 định tính, 10 định lượng)</t>
  </si>
  <si>
    <t>Phân tích định tính</t>
  </si>
  <si>
    <t>VA/BVA/NVA; Move/Hold/Overdo; bên liên quan; nguyên nhân</t>
  </si>
  <si>
    <t>Dùng bảng phân tích và Fishbone cho vấn đề ưu tiên</t>
  </si>
  <si>
    <t>Phân tích định lượng</t>
  </si>
  <si>
    <t>Thời gian; chất lượng; chi phí; tính toán; khắc phục</t>
  </si>
  <si>
    <t>Có bảng dữ liệu, công thức KPI và đề xuất mục tiêu TO-BE</t>
  </si>
  <si>
    <t>Trình bày/GitHub</t>
  </si>
  <si>
    <t>Cập nhật liên tục; Word/slide chuẩn</t>
  </si>
  <si>
    <t>Mỗi tuần 1 Issue, 1 thư mục kết quả, commit có nội dung rõ ràng</t>
  </si>
  <si>
    <t>LỘ TRÌNH 10 TUẦN – MỖI TUẦN 01 GITHUB ISSUE</t>
  </si>
  <si>
    <t>Mốc ngày được xếp từ 03/08/2026. Có thể dịch toàn bộ lịch nhưng nên giữ thứ tự công việc và tránh gián đoạn 3 tuần liên tiếp trên GitHub.</t>
  </si>
  <si>
    <t>Tuần</t>
  </si>
  <si>
    <t>Thời gian</t>
  </si>
  <si>
    <t>Tên GitHub Issue</t>
  </si>
  <si>
    <t>Quy trình</t>
  </si>
  <si>
    <t>Vấn đề trọng tâm</t>
  </si>
  <si>
    <t>Sản phẩm phải nộp</t>
  </si>
  <si>
    <t>Rubric liên quan</t>
  </si>
  <si>
    <t>Tiêu chí hoàn thành</t>
  </si>
  <si>
    <t>Đường dẫn đề xuất</t>
  </si>
  <si>
    <t>Trạng thái</t>
  </si>
  <si>
    <t>%</t>
  </si>
  <si>
    <t>03/08/2026–09/08/2026</t>
  </si>
  <si>
    <t>Khởi tạo phạm vi và bằng chứng</t>
  </si>
  <si>
    <t>06 &amp; 10</t>
  </si>
  <si>
    <t>Xác định phạm vi, giả định, vai trò và nguồn bằng chứng</t>
  </si>
  <si>
    <t>README tiến độ; Evidence Register; danh sách tác nhân; sơ đồ tổ chức giả định; thuật ngữ</t>
  </si>
  <si>
    <t>Phương pháp thực hiện – dựa trên bằng chứng</t>
  </si>
  <si>
    <t>Có ít nhất 8 nguồn/bằng chứng dự kiến; phân biệt dữ liệu thật và dữ liệu minh họa</t>
  </si>
  <si>
    <t>nguyen-thi-hien/week-01-scope-evidence/</t>
  </si>
  <si>
    <t>Chưa bắt đầu</t>
  </si>
  <si>
    <t>10/08/2026–16/08/2026</t>
  </si>
  <si>
    <t>Mô tả AS-IS quy trình 06</t>
  </si>
  <si>
    <t>Từ bản phát hành sẵn sàng đến nghiệm thu/bàn giao</t>
  </si>
  <si>
    <t>Tác nhân; input/output; 15–18 bước; khách hàng; các kết quả/ngoại lệ; 10 câu hỏi phỏng vấn P06</t>
  </si>
  <si>
    <t>Liệt kê quy trình + mô tả bằng lời + phỏng vấn</t>
  </si>
  <si>
    <t>Luồng chính và ít nhất 5 luồng ngoại lệ; câu hỏi có mục đích đo lường rõ</t>
  </si>
  <si>
    <t>nguyen-thi-hien/week-02-process-06-description/</t>
  </si>
  <si>
    <t>17/08/2026–23/08/2026</t>
  </si>
  <si>
    <t>Mô tả AS-IS quy trình 10</t>
  </si>
  <si>
    <t>Từ yêu cầu tài sản đến cấp phát, vận hành và thanh lý</t>
  </si>
  <si>
    <t>Tác nhân; input/output; 16–20 bước; khách hàng; các kết quả/ngoại lệ; 10 câu hỏi phỏng vấn P10</t>
  </si>
  <si>
    <t>Bao phủ mua mới, cấp từ kho, sửa chữa, thu hồi/chuyển giao và thanh lý</t>
  </si>
  <si>
    <t>nguyen-thi-hien/week-03-process-10-description/</t>
  </si>
  <si>
    <t>24/08/2026–30/08/2026</t>
  </si>
  <si>
    <t>Mô hình BPMN AS-IS quy trình 06</t>
  </si>
  <si>
    <t>Triển khai và nghiệm thu với đầy đủ Split/Join</t>
  </si>
  <si>
    <t>File .bpmn/.drawio; PNG; bảng gateway; bảng đối chiếu bước ↔ BPMN</t>
  </si>
  <si>
    <t>Mô hình hóa quy trình cốt lõi; cổng điều kiện; ký hiệu</t>
  </si>
  <si>
    <t>Ít nhất 8 gateway hợp lý; có Pool/Lane; sequence/message flow đúng; có rollback</t>
  </si>
  <si>
    <t>nguyen-thi-hien/week-04-process-06-bpmn/</t>
  </si>
  <si>
    <t>31/08/2026–06/09/2026</t>
  </si>
  <si>
    <t>Mô hình BPMN AS-IS quy trình 10</t>
  </si>
  <si>
    <t>Mua sắm và quản lý vòng đời tài sản</t>
  </si>
  <si>
    <t>Mô hình hóa quy trình hỗ trợ; cổng điều kiện; ký hiệu</t>
  </si>
  <si>
    <t>Ít nhất 8 gateway hợp lý; thể hiện phê duyệt, tồn kho, vendor, nghiệm thu, cấp phát</t>
  </si>
  <si>
    <t>nguyen-thi-hien/week-05-process-10-bpmn/</t>
  </si>
  <si>
    <t>07/09/2026–13/09/2026</t>
  </si>
  <si>
    <t>Phân tích định tính quy trình 06</t>
  </si>
  <si>
    <t>Tìm điểm nghẽn triển khai/nghiệm thu</t>
  </si>
  <si>
    <t>Bảng VA/BVA/NVA; Move/Hold/Overdo; stakeholder matrix; Fishbone</t>
  </si>
  <si>
    <t>Phân tích giá trị; lãng phí; bên liên quan; nguyên nhân</t>
  </si>
  <si>
    <t>Mỗi hoạt động BPMN được phân loại; chọn 1 vấn đề ưu tiên và chứng minh nguyên nhân</t>
  </si>
  <si>
    <t>nguyen-thi-hien/week-06-process-06-qualitative/</t>
  </si>
  <si>
    <t>14/09/2026–20/09/2026</t>
  </si>
  <si>
    <t>Phân tích định tính quy trình 10</t>
  </si>
  <si>
    <t>Tìm điểm nghẽn mua sắm/cấp phát/quản lý tài sản</t>
  </si>
  <si>
    <t>Nêu rõ chờ phê duyệt, nhập liệu lặp, kiểm kê lệch, bàn giao thiếu hồ sơ</t>
  </si>
  <si>
    <t>nguyen-thi-hien/week-07-process-10-qualitative/</t>
  </si>
  <si>
    <t>21/09/2026–27/09/2026</t>
  </si>
  <si>
    <t>Phân tích định lượng và TO-BE quy trình 06</t>
  </si>
  <si>
    <t>Đo thời gian, chất lượng, chi phí và đề xuất cải tiến</t>
  </si>
  <si>
    <t>Bảng dữ liệu; công thức KPI; baseline/target; BPMN TO-BE; kế hoạch hành động</t>
  </si>
  <si>
    <t>Phân tích định lượng + khắc phục</t>
  </si>
  <si>
    <t>Có số liệu thật hoặc ghi rõ giả lập; tối thiểu 5 KPI; so sánh AS-IS/TO-BE</t>
  </si>
  <si>
    <t>nguyen-thi-hien/week-08-process-06-quantitative-tobe/</t>
  </si>
  <si>
    <t>28/09/2026–04/10/2026</t>
  </si>
  <si>
    <t>Phân tích định lượng và TO-BE quy trình 10</t>
  </si>
  <si>
    <t>Đo lead time, tồn kho, chi phí, độ chính xác tài sản</t>
  </si>
  <si>
    <t>Có tối thiểu 5 KPI; liên kết giải pháp với nguyên nhân tuần 7</t>
  </si>
  <si>
    <t>nguyen-thi-hien/week-09-process-10-quantitative-tobe/</t>
  </si>
  <si>
    <t>05/10/2026–11/10/2026</t>
  </si>
  <si>
    <t>Đóng gói báo cáo và kiểm tra rubric</t>
  </si>
  <si>
    <t>Chuẩn hóa nội dung để nhóm trưởng tích hợp</t>
  </si>
  <si>
    <t>Chương Word; hình BPMN; bảng biểu; slide tóm tắt; checklist rubric; README final</t>
  </si>
  <si>
    <t>Trình bày – Word/Slide/GitHub</t>
  </si>
  <si>
    <t>Không lỗi chính tả; hình/bảng có label; nguồn tham khảo; link chạy được; commit cuối rõ ràng</t>
  </si>
  <si>
    <t>nguyen-thi-hien/week-10-final-package/</t>
  </si>
  <si>
    <t>QUY TRÌNH 06 – TRIỂN KHAI VÀ NGHIỆM THU PHẦN MỀM</t>
  </si>
  <si>
    <t>Thuộc tính</t>
  </si>
  <si>
    <t>Nội dung</t>
  </si>
  <si>
    <t>Core Process</t>
  </si>
  <si>
    <t>Mục tiêu</t>
  </si>
  <si>
    <t>Đưa phiên bản đã được phê duyệt lên môi trường vận hành an toàn; xác nhận đáp ứng tiêu chí nghiệm thu; bàn giao cho vận hành/hỗ trợ.</t>
  </si>
  <si>
    <t>Điểm bắt đầu</t>
  </si>
  <si>
    <t>Release candidate, kế hoạch triển khai và tiêu chí nghiệm thu đã sẵn sàng.</t>
  </si>
  <si>
    <t>Điểm kết thúc</t>
  </si>
  <si>
    <t>Nghiệm thu vô điều kiện/có điều kiện; hoặc rollback/tạm hoãn và phát sinh kế hoạch khắc phục.</t>
  </si>
  <si>
    <t>Khách hàng</t>
  </si>
  <si>
    <t>Khách hàng doanh nghiệp, Product Owner, người dùng UAT, bộ phận vận hành của khách hàng.</t>
  </si>
  <si>
    <t>Tác nhân chính</t>
  </si>
  <si>
    <t>PM/Delivery Manager; BA; DevOps/Release Manager; QA; Developer; Security/Infrastructure; Customer PO/UAT; Operations/Support.</t>
  </si>
  <si>
    <t>Đầu vào</t>
  </si>
  <si>
    <t>Release package; test report; release notes; deployment plan; rollback plan; UAT cases; acceptance criteria; access approval.</t>
  </si>
  <si>
    <t>Đầu ra</t>
  </si>
  <si>
    <t>Biên bản triển khai; log; kết quả smoke test/UAT; biên bản nghiệm thu; tài liệu bàn giao; danh sách tồn đọng; quyết định rollback.</t>
  </si>
  <si>
    <t>LUỒNG AS-IS ĐỀ XUẤT</t>
  </si>
  <si>
    <t>STT</t>
  </si>
  <si>
    <t>Tác nhân</t>
  </si>
  <si>
    <t>Hoạt động</t>
  </si>
  <si>
    <t>Input</t>
  </si>
  <si>
    <t>Gateway/điều kiện</t>
  </si>
  <si>
    <t>Output</t>
  </si>
  <si>
    <t>Ngoại lệ</t>
  </si>
  <si>
    <t>Bằng chứng nên thu</t>
  </si>
  <si>
    <t>PM/Release Manager</t>
  </si>
  <si>
    <t>Khởi tạo yêu cầu triển khai và xác định phạm vi release</t>
  </si>
  <si>
    <t>Release candidate</t>
  </si>
  <si>
    <t>Deployment request</t>
  </si>
  <si>
    <t>Phạm vi chưa chốt</t>
  </si>
  <si>
    <t>Release note, ticket</t>
  </si>
  <si>
    <t>QA</t>
  </si>
  <si>
    <t>Xác nhận test report và defect status</t>
  </si>
  <si>
    <t>Test report</t>
  </si>
  <si>
    <t>G1: Release đủ điều kiện?</t>
  </si>
  <si>
    <t>QA sign-off</t>
  </si>
  <si>
    <t>Còn defect chặn</t>
  </si>
  <si>
    <t>Test summary, defect list</t>
  </si>
  <si>
    <t>PM/Change Authority</t>
  </si>
  <si>
    <t>Xin phê duyệt triển khai/change</t>
  </si>
  <si>
    <t>G2: Được phê duyệt?</t>
  </si>
  <si>
    <t>Approval</t>
  </si>
  <si>
    <t>Bị từ chối/đổi lịch</t>
  </si>
  <si>
    <t>Approval email/CAB record</t>
  </si>
  <si>
    <t>DevOps/Infra</t>
  </si>
  <si>
    <t>Kiểm tra môi trường, quyền truy cập và cửa sổ triển khai</t>
  </si>
  <si>
    <t>Environment checklist</t>
  </si>
  <si>
    <t>G3: Môi trường sẵn sàng?</t>
  </si>
  <si>
    <t>Environment ready</t>
  </si>
  <si>
    <t>Thiếu quyền/tài nguyên</t>
  </si>
  <si>
    <t>Checklist, access log</t>
  </si>
  <si>
    <t>DevOps/Operations</t>
  </si>
  <si>
    <t>Kiểm tra backup và rollback package</t>
  </si>
  <si>
    <t>Rollback plan</t>
  </si>
  <si>
    <t>G4: Rollback khả thi?</t>
  </si>
  <si>
    <t>Rollback ready</t>
  </si>
  <si>
    <t>Backup lỗi</t>
  </si>
  <si>
    <t>Backup evidence</t>
  </si>
  <si>
    <t>PM/Customer</t>
  </si>
  <si>
    <t>Thông báo kế hoạch và xác nhận thời gian downtime</t>
  </si>
  <si>
    <t>Approved schedule</t>
  </si>
  <si>
    <t>G5: Khách hàng xác nhận?</t>
  </si>
  <si>
    <t>Confirmed window</t>
  </si>
  <si>
    <t>Khách hàng yêu cầu dời</t>
  </si>
  <si>
    <t>Email/meeting minutes</t>
  </si>
  <si>
    <t>DevOps</t>
  </si>
  <si>
    <t>Thực hiện triển khai theo runbook</t>
  </si>
  <si>
    <t>Deployment package</t>
  </si>
  <si>
    <t>G6: Tự động hay thủ công?</t>
  </si>
  <si>
    <t>Deployment log</t>
  </si>
  <si>
    <t>Script lỗi/thao tác lỗi</t>
  </si>
  <si>
    <t>CI/CD log, runbook</t>
  </si>
  <si>
    <t>DevOps/QA</t>
  </si>
  <si>
    <t>Chạy smoke test kỹ thuật</t>
  </si>
  <si>
    <t>Deployed build</t>
  </si>
  <si>
    <t>G7: Smoke test đạt?</t>
  </si>
  <si>
    <t>Technical pass</t>
  </si>
  <si>
    <t>Rollback hoặc hotfix</t>
  </si>
  <si>
    <t>Smoke test report</t>
  </si>
  <si>
    <t>QA/BA</t>
  </si>
  <si>
    <t>Kiểm tra dữ liệu, tích hợp và các luồng trọng yếu</t>
  </si>
  <si>
    <t>G8: Có lỗi nghiêm trọng?</t>
  </si>
  <si>
    <t>Business-ready build</t>
  </si>
  <si>
    <t>Mở defect</t>
  </si>
  <si>
    <t>Checklist, defect ticket</t>
  </si>
  <si>
    <t>Customer UAT</t>
  </si>
  <si>
    <t>Thực hiện UAT theo kịch bản</t>
  </si>
  <si>
    <t>UAT build/cases</t>
  </si>
  <si>
    <t>G9: UAT đạt?</t>
  </si>
  <si>
    <t>UAT result</t>
  </si>
  <si>
    <t>Yêu cầu sửa/kiểm thử lại</t>
  </si>
  <si>
    <t>UAT evidence</t>
  </si>
  <si>
    <t>PM/BA</t>
  </si>
  <si>
    <t>Tổng hợp tồn đọng và phân loại mức độ</t>
  </si>
  <si>
    <t>G10: Tồn đọng có chấp nhận được?</t>
  </si>
  <si>
    <t>Punch list</t>
  </si>
  <si>
    <t>Không đủ điều kiện nghiệm thu</t>
  </si>
  <si>
    <t>Issue log</t>
  </si>
  <si>
    <t>Customer PO</t>
  </si>
  <si>
    <t>Quyết định nghiệm thu</t>
  </si>
  <si>
    <t>Evidence package</t>
  </si>
  <si>
    <t>G11: Nghiệm thu vô điều kiện/có điều kiện/từ chối?</t>
  </si>
  <si>
    <t>Acceptance decision</t>
  </si>
  <si>
    <t>Từ chối</t>
  </si>
  <si>
    <t>Acceptance minutes</t>
  </si>
  <si>
    <t>Ổn định sau triển khai và theo dõi hypercare</t>
  </si>
  <si>
    <t>Accepted release</t>
  </si>
  <si>
    <t>G12: Có sự cố hậu triển khai?</t>
  </si>
  <si>
    <t>Stable release</t>
  </si>
  <si>
    <t>Incident/rollback</t>
  </si>
  <si>
    <t>Monitoring report</t>
  </si>
  <si>
    <t>PM/Support</t>
  </si>
  <si>
    <t>Bàn giao tài liệu, tài khoản, SLA và danh sách tồn đọng</t>
  </si>
  <si>
    <t>Handover package</t>
  </si>
  <si>
    <t>Thiếu tài liệu</t>
  </si>
  <si>
    <t>Handover checklist</t>
  </si>
  <si>
    <t>PM/Finance/Account</t>
  </si>
  <si>
    <t>Đóng mốc nghiệm thu và kích hoạt bảo hành/thanh toán</t>
  </si>
  <si>
    <t>Milestone closed</t>
  </si>
  <si>
    <t>Chờ hồ sơ ký</t>
  </si>
  <si>
    <t>Signed minutes/invoice milestone</t>
  </si>
  <si>
    <t>DANH SÁCH GATEWAY CỐT LÕI – DÙNG KHI VẼ BPMN</t>
  </si>
  <si>
    <t>Loại</t>
  </si>
  <si>
    <t>Câu hỏi điều kiện</t>
  </si>
  <si>
    <t>Nhánh đi</t>
  </si>
  <si>
    <t>Điểm Join</t>
  </si>
  <si>
    <t>Ghi chú</t>
  </si>
  <si>
    <t>G1</t>
  </si>
  <si>
    <t>XOR</t>
  </si>
  <si>
    <t>Release đủ điều kiện QA?</t>
  </si>
  <si>
    <t>Đạt / Không đạt</t>
  </si>
  <si>
    <t>Sau khi sửa và retest</t>
  </si>
  <si>
    <t>Không mô hình bằng task yes/no</t>
  </si>
  <si>
    <t>G2</t>
  </si>
  <si>
    <t>Change được phê duyệt?</t>
  </si>
  <si>
    <t>Phê duyệt / Từ chối / Đổi lịch</t>
  </si>
  <si>
    <t>Sau cập nhật kế hoạch</t>
  </si>
  <si>
    <t>Có thể dùng event-based nếu chờ phản hồi</t>
  </si>
  <si>
    <t>G3</t>
  </si>
  <si>
    <t>Môi trường sẵn sàng?</t>
  </si>
  <si>
    <t>Có / Không</t>
  </si>
  <si>
    <t>Sau khắc phục môi trường</t>
  </si>
  <si>
    <t>G4</t>
  </si>
  <si>
    <t>Backup &amp; rollback khả thi?</t>
  </si>
  <si>
    <t>Sau tạo lại backup</t>
  </si>
  <si>
    <t>G5</t>
  </si>
  <si>
    <t>Khách hàng xác nhận cửa sổ triển khai?</t>
  </si>
  <si>
    <t>Có / Dời lịch</t>
  </si>
  <si>
    <t>Sau xác nhận lại</t>
  </si>
  <si>
    <t>G6</t>
  </si>
  <si>
    <t>Phương thức triển khai?</t>
  </si>
  <si>
    <t>Pipeline tự động / Runbook thủ công</t>
  </si>
  <si>
    <t>Trước smoke test</t>
  </si>
  <si>
    <t>Hai nhánh phải join lại</t>
  </si>
  <si>
    <t>G7</t>
  </si>
  <si>
    <t>Smoke test đạt?</t>
  </si>
  <si>
    <t>Sau hotfix hoặc rollback</t>
  </si>
  <si>
    <t>G8</t>
  </si>
  <si>
    <t>Có lỗi nghiêm trọng?</t>
  </si>
  <si>
    <t>Sau xử lý defect</t>
  </si>
  <si>
    <t>G9</t>
  </si>
  <si>
    <t>UAT đạt?</t>
  </si>
  <si>
    <t>Sau retest</t>
  </si>
  <si>
    <t>G10</t>
  </si>
  <si>
    <t>Tồn đọng có được chấp nhận?</t>
  </si>
  <si>
    <t>Trước quyết định nghiệm thu</t>
  </si>
  <si>
    <t>G11</t>
  </si>
  <si>
    <t>Kết quả nghiệm thu?</t>
  </si>
  <si>
    <t>Vô điều kiện / Có điều kiện / Từ chối</t>
  </si>
  <si>
    <t>Không nhất thiết join</t>
  </si>
  <si>
    <t>G12</t>
  </si>
  <si>
    <t>Có sự cố hypercare?</t>
  </si>
  <si>
    <t>Không / Có-hotfix / Có-rollback</t>
  </si>
  <si>
    <t>Sau ổn định</t>
  </si>
  <si>
    <t>KPI ĐỊNH LƯỢNG ĐỀ XUẤT</t>
  </si>
  <si>
    <t>KPI</t>
  </si>
  <si>
    <t>Công thức</t>
  </si>
  <si>
    <t>Đơn vị</t>
  </si>
  <si>
    <t>Nguồn dữ liệu</t>
  </si>
  <si>
    <t>Baseline</t>
  </si>
  <si>
    <t>Mục tiêu TO-BE</t>
  </si>
  <si>
    <t>Deployment lead time</t>
  </si>
  <si>
    <t>Thời điểm hoàn tất - thời điểm phê duyệt</t>
  </si>
  <si>
    <t>Giờ</t>
  </si>
  <si>
    <t>CI/CD + ticket</t>
  </si>
  <si>
    <t>Điền số liệu thật</t>
  </si>
  <si>
    <t>Giảm ≥20%</t>
  </si>
  <si>
    <t>Deployment success rate</t>
  </si>
  <si>
    <t>Số lần không rollback / Tổng lần triển khai</t>
  </si>
  <si>
    <t>≥95%</t>
  </si>
  <si>
    <t>Change failure rate</t>
  </si>
  <si>
    <t>Số release gây incident/rollback / Tổng release</t>
  </si>
  <si>
    <t>Incident + release</t>
  </si>
  <si>
    <t>≤5%</t>
  </si>
  <si>
    <t>UAT first-pass rate</t>
  </si>
  <si>
    <t>UAT đạt lần 1 / Tổng đợt UAT</t>
  </si>
  <si>
    <t>UAT report</t>
  </si>
  <si>
    <t>≥85%</t>
  </si>
  <si>
    <t>Acceptance cycle time</t>
  </si>
  <si>
    <t>Ngày ký nghiệm thu - ngày UAT bắt đầu</t>
  </si>
  <si>
    <t>Ngày</t>
  </si>
  <si>
    <t>Biên bản + lịch</t>
  </si>
  <si>
    <t>Giảm ≥25%</t>
  </si>
  <si>
    <t>Defect leakage</t>
  </si>
  <si>
    <t>Defect production / Tổng defect</t>
  </si>
  <si>
    <t>Defect tracker</t>
  </si>
  <si>
    <t>≤3%</t>
  </si>
  <si>
    <t>QUY TRÌNH 10 – MUA SẮM VÀ QUẢN LÝ TÀI SẢN CNTT</t>
  </si>
  <si>
    <t>Support Process</t>
  </si>
  <si>
    <t>Cung cấp tài sản CNTT đúng nhu cầu, đúng ngân sách, đúng thời điểm; quản lý đầy đủ từ yêu cầu, mua/cấp phát, sử dụng, bảo trì, thu hồi đến thanh lý.</t>
  </si>
  <si>
    <t>Nhân viên/dự án phát sinh nhu cầu hoặc hệ thống cảnh báo nhu cầu thay thế.</t>
  </si>
  <si>
    <t>Tài sản được cấp phát/thu hồi/chuyển giao/thanh lý và CMDB/Asset Register được cập nhật.</t>
  </si>
  <si>
    <t>Nhân viên, dự án, PM, các bộ phận nghiệp vụ; gián tiếp là khách hàng outsourcing cần đội dự án có thiết bị phù hợp.</t>
  </si>
  <si>
    <t>Requester; Line Manager/PM; IT Asset Officer; Procurement; Finance; Security/Architecture; Legal; Vendor; Warehouse/Admin; IT Support; Employee.</t>
  </si>
  <si>
    <t>Phiếu yêu cầu; cấu hình chuẩn; ngân sách; tồn kho; báo giá; PO/hợp đồng; thông tin người nhận.</t>
  </si>
  <si>
    <t>Tài sản được gắn mã và cấp phát; biên bản bàn giao; Asset Register/CMDB; bảo hành; hồ sơ sửa chữa/thu hồi/thanh lý.</t>
  </si>
  <si>
    <t>Requester/PM</t>
  </si>
  <si>
    <t>Tạo yêu cầu tài sản, nêu mục đích, cấu hình và thời hạn</t>
  </si>
  <si>
    <t>Nhu cầu dự án</t>
  </si>
  <si>
    <t>Asset request</t>
  </si>
  <si>
    <t>Thiếu thông tin</t>
  </si>
  <si>
    <t>Request form/ticket</t>
  </si>
  <si>
    <t>Line Manager/PM</t>
  </si>
  <si>
    <t>Xác nhận nhu cầu và người chịu trách nhiệm</t>
  </si>
  <si>
    <t>G1: Yêu cầu hợp lệ?</t>
  </si>
  <si>
    <t>Manager approval</t>
  </si>
  <si>
    <t>Trả lại bổ sung</t>
  </si>
  <si>
    <t>Approval record</t>
  </si>
  <si>
    <t>IT Asset Officer</t>
  </si>
  <si>
    <t>Kiểm tra tiêu chuẩn cấu hình và chính sách</t>
  </si>
  <si>
    <t>Approved request</t>
  </si>
  <si>
    <t>G2: Nhu cầu thuộc danh mục chuẩn?</t>
  </si>
  <si>
    <t>Validated spec</t>
  </si>
  <si>
    <t>Yêu cầu ngoại lệ</t>
  </si>
  <si>
    <t>Standard catalog</t>
  </si>
  <si>
    <t>Kiểm tra tồn kho và khả năng tái sử dụng</t>
  </si>
  <si>
    <t>G3: Có sẵn tài sản phù hợp?</t>
  </si>
  <si>
    <t>Stock reservation</t>
  </si>
  <si>
    <t>Chuyển sang mua mới</t>
  </si>
  <si>
    <t>Inventory report</t>
  </si>
  <si>
    <t>IT Support</t>
  </si>
  <si>
    <t>Kiểm tra tình trạng kỹ thuật tài sản tồn</t>
  </si>
  <si>
    <t>Reserved asset</t>
  </si>
  <si>
    <t>G4: Tài sản đạt chất lượng?</t>
  </si>
  <si>
    <t>Ready asset</t>
  </si>
  <si>
    <t>Sửa chữa/loại bỏ</t>
  </si>
  <si>
    <t>Inspection checklist</t>
  </si>
  <si>
    <t>Finance/PM</t>
  </si>
  <si>
    <t>Kiểm tra ngân sách/cost center</t>
  </si>
  <si>
    <t>Purchase request</t>
  </si>
  <si>
    <t>G5: Có ngân sách?</t>
  </si>
  <si>
    <t>Budget approval</t>
  </si>
  <si>
    <t>Tạm hoãn/từ chối</t>
  </si>
  <si>
    <t>Budget report</t>
  </si>
  <si>
    <t>Approver</t>
  </si>
  <si>
    <t>Phê duyệt theo hạn mức</t>
  </si>
  <si>
    <t>G6: Thuộc cấp phê duyệt nào?</t>
  </si>
  <si>
    <t>Approved PR</t>
  </si>
  <si>
    <t>Escalate</t>
  </si>
  <si>
    <t>Approval matrix</t>
  </si>
  <si>
    <t>Security/Architecture</t>
  </si>
  <si>
    <t>Đánh giá tương thích, bảo mật và license</t>
  </si>
  <si>
    <t>G7: Đạt yêu cầu kỹ thuật/bảo mật?</t>
  </si>
  <si>
    <t>Technical approval</t>
  </si>
  <si>
    <t>Đổi cấu hình</t>
  </si>
  <si>
    <t>Security checklist</t>
  </si>
  <si>
    <t>Procurement</t>
  </si>
  <si>
    <t>Thu thập báo giá/đấu thầu theo chính sách</t>
  </si>
  <si>
    <t>G8: Đủ số báo giá?</t>
  </si>
  <si>
    <t>Quotation set</t>
  </si>
  <si>
    <t>Xin ngoại lệ</t>
  </si>
  <si>
    <t>Quotations</t>
  </si>
  <si>
    <t>Procurement/PM/Finance</t>
  </si>
  <si>
    <t>Đánh giá và chọn nhà cung cấp</t>
  </si>
  <si>
    <t>G9: Nhà cung cấp đạt?</t>
  </si>
  <si>
    <t>Vendor selection</t>
  </si>
  <si>
    <t>Đàm phán/chọn lại</t>
  </si>
  <si>
    <t>Evaluation matrix</t>
  </si>
  <si>
    <t>Procurement/Legal</t>
  </si>
  <si>
    <t>Phát hành PO/hợp đồng</t>
  </si>
  <si>
    <t>G10: Điều khoản được duyệt?</t>
  </si>
  <si>
    <t>PO/contract</t>
  </si>
  <si>
    <t>Sửa điều khoản</t>
  </si>
  <si>
    <t>Vendor/Warehouse</t>
  </si>
  <si>
    <t>Giao hàng và kiểm tra số lượng/chủng loại</t>
  </si>
  <si>
    <t>PO</t>
  </si>
  <si>
    <t>G11: Giao hàng khớp PO?</t>
  </si>
  <si>
    <t>Goods receipt</t>
  </si>
  <si>
    <t>Từ chối/đổi hàng</t>
  </si>
  <si>
    <t>Delivery note</t>
  </si>
  <si>
    <t>Nghiệm thu kỹ thuật, cài đặt chuẩn và bảo mật</t>
  </si>
  <si>
    <t>G12: Test kỹ thuật đạt?</t>
  </si>
  <si>
    <t>Configured asset</t>
  </si>
  <si>
    <t>Bảo hành/đổi</t>
  </si>
  <si>
    <t>Acceptance checklist</t>
  </si>
  <si>
    <t>Gắn mã tài sản, cập nhật Asset Register/CMDB</t>
  </si>
  <si>
    <t>Registered asset</t>
  </si>
  <si>
    <t>Sai serial/thông tin</t>
  </si>
  <si>
    <t>Asset register</t>
  </si>
  <si>
    <t>IT Support/Employee</t>
  </si>
  <si>
    <t>Bàn giao tài sản và ký biên bản</t>
  </si>
  <si>
    <t>G13: Người nhận xác nhận?</t>
  </si>
  <si>
    <t>Issued asset</t>
  </si>
  <si>
    <t>Hẹn bàn giao lại</t>
  </si>
  <si>
    <t>Handover form</t>
  </si>
  <si>
    <t>Theo dõi sử dụng, bảo hành, bảo trì và kiểm kê</t>
  </si>
  <si>
    <t>G14: Có sự cố/biến động?</t>
  </si>
  <si>
    <t>Updated lifecycle</t>
  </si>
  <si>
    <t>Mất/hỏng/chuyển người dùng</t>
  </si>
  <si>
    <t>Maintenance/stocktake</t>
  </si>
  <si>
    <t>Manager/IT</t>
  </si>
  <si>
    <t>Thu hồi khi nghỉ việc/chuyển dự án/hết vòng đời</t>
  </si>
  <si>
    <t>Lifecycle event</t>
  </si>
  <si>
    <t>G15: Tái sử dụng, sửa chữa hay thanh lý?</t>
  </si>
  <si>
    <t>Disposition decision</t>
  </si>
  <si>
    <t>Thiếu tài sản</t>
  </si>
  <si>
    <t>Return form</t>
  </si>
  <si>
    <t>Finance/IT/Committee</t>
  </si>
  <si>
    <t>Thanh lý/hủy an toàn và đóng hồ sơ</t>
  </si>
  <si>
    <t>G16: Đủ điều kiện thanh lý?</t>
  </si>
  <si>
    <t>Disposed asset</t>
  </si>
  <si>
    <t>Chờ phê duyệt</t>
  </si>
  <si>
    <t>Disposal minutes</t>
  </si>
  <si>
    <t>Yêu cầu đầy đủ/hợp lệ?</t>
  </si>
  <si>
    <t>Sau bổ sung</t>
  </si>
  <si>
    <t>Cấu hình thuộc danh mục chuẩn?</t>
  </si>
  <si>
    <t>Chuẩn / Ngoại lệ</t>
  </si>
  <si>
    <t>Sau duyệt ngoại lệ</t>
  </si>
  <si>
    <t>Có tài sản phù hợp trong kho?</t>
  </si>
  <si>
    <t>Trước cấu hình tài sản</t>
  </si>
  <si>
    <t>Nhánh có kho bỏ qua mua sắm</t>
  </si>
  <si>
    <t>Tài sản tồn đạt chất lượng?</t>
  </si>
  <si>
    <t>Đạt / Sửa chữa / Loại bỏ</t>
  </si>
  <si>
    <t>Sau sửa chữa</t>
  </si>
  <si>
    <t>Có ngân sách?</t>
  </si>
  <si>
    <t>Sau bổ sung ngân sách</t>
  </si>
  <si>
    <t>Hạn mức phê duyệt?</t>
  </si>
  <si>
    <t>Manager / Director / Committee</t>
  </si>
  <si>
    <t>Sau approval</t>
  </si>
  <si>
    <t>Các nhánh join</t>
  </si>
  <si>
    <t>Đạt bảo mật/tương thích?</t>
  </si>
  <si>
    <t>Sau đổi cấu hình</t>
  </si>
  <si>
    <t>Đủ số báo giá?</t>
  </si>
  <si>
    <t>Đủ / Xin ngoại lệ</t>
  </si>
  <si>
    <t>Trước đánh giá vendor</t>
  </si>
  <si>
    <t>Vendor đạt tiêu chí?</t>
  </si>
  <si>
    <t>Sau đánh giá lại</t>
  </si>
  <si>
    <t>Điều khoản PO/hợp đồng được duyệt?</t>
  </si>
  <si>
    <t>Có / Sửa</t>
  </si>
  <si>
    <t>Sau sửa điều khoản</t>
  </si>
  <si>
    <t>Hàng giao khớp PO?</t>
  </si>
  <si>
    <t>Khớp / Không khớp</t>
  </si>
  <si>
    <t>Sau đổi/trả hàng</t>
  </si>
  <si>
    <t>Nghiệm thu kỹ thuật đạt?</t>
  </si>
  <si>
    <t>Đạt / Bảo hành/đổi</t>
  </si>
  <si>
    <t>Sau nhận hàng thay thế</t>
  </si>
  <si>
    <t>G13</t>
  </si>
  <si>
    <t>Người nhận xác nhận bàn giao?</t>
  </si>
  <si>
    <t>Có / Chưa</t>
  </si>
  <si>
    <t>Sau hẹn lại</t>
  </si>
  <si>
    <t>G14</t>
  </si>
  <si>
    <t>Event/XOR</t>
  </si>
  <si>
    <t>Có sự cố hoặc biến động vòng đời?</t>
  </si>
  <si>
    <t>Không / Sửa / Mất / Chuyển</t>
  </si>
  <si>
    <t>Sau cập nhật hồ sơ</t>
  </si>
  <si>
    <t>G15</t>
  </si>
  <si>
    <t>Hướng xử lý khi thu hồi?</t>
  </si>
  <si>
    <t>Tái sử dụng / Sửa / Thanh lý</t>
  </si>
  <si>
    <t>G16</t>
  </si>
  <si>
    <t>Đủ điều kiện thanh lý?</t>
  </si>
  <si>
    <t>Sau bổ sung hồ sơ</t>
  </si>
  <si>
    <t>Request-to-issue lead time</t>
  </si>
  <si>
    <t>Ngày bàn giao - ngày tạo yêu cầu</t>
  </si>
  <si>
    <t>Ticket + handover</t>
  </si>
  <si>
    <t>In-stock fulfillment rate</t>
  </si>
  <si>
    <t>Yêu cầu cấp từ kho / Tổng yêu cầu</t>
  </si>
  <si>
    <t>Inventory + request</t>
  </si>
  <si>
    <t>Tăng ≥15 điểm %</t>
  </si>
  <si>
    <t>On-time delivery rate</t>
  </si>
  <si>
    <t>Đơn giao đúng hạn / Tổng đơn mua</t>
  </si>
  <si>
    <t>PO + delivery</t>
  </si>
  <si>
    <t>Inventory accuracy</t>
  </si>
  <si>
    <t>Tài sản khớp kiểm kê / Tổng tài sản kiểm kê</t>
  </si>
  <si>
    <t>Stocktake</t>
  </si>
  <si>
    <t>≥98%</t>
  </si>
  <si>
    <t>Procurement price variance</t>
  </si>
  <si>
    <t>(Giá mua - ngân sách)/ngân sách</t>
  </si>
  <si>
    <t>Budget + PO</t>
  </si>
  <si>
    <t>Asset utilization</t>
  </si>
  <si>
    <t>Tài sản đang sử dụng / Tổng tài sản sẵn sàng</t>
  </si>
  <si>
    <t>≥90%</t>
  </si>
  <si>
    <t>First-time technical acceptance</t>
  </si>
  <si>
    <t>Tài sản đạt test lần 1 / Tổng hàng nhận</t>
  </si>
  <si>
    <t>≥97%</t>
  </si>
  <si>
    <t>BỘ 20 CÂU HỎI PHỎNG VẤN THEO RUBRIC</t>
  </si>
  <si>
    <t>Tổng cộng: 10 câu định tính (5 cấu trúc + 5 không cấu trúc) và 10 câu định lượng (5 cấu trúc + 5 không cấu trúc).</t>
  </si>
  <si>
    <t>Cấu trúc</t>
  </si>
  <si>
    <t>Đối tượng hỏi</t>
  </si>
  <si>
    <t>Câu hỏi</t>
  </si>
  <si>
    <t>Mục đích/Bằng chứng</t>
  </si>
  <si>
    <t>Định tính</t>
  </si>
  <si>
    <t>QA Lead</t>
  </si>
  <si>
    <t>Các tiêu chí bắt buộc để một release được phép triển khai là gì?</t>
  </si>
  <si>
    <t>Xác định G1 và hồ sơ QA sign-off</t>
  </si>
  <si>
    <t>Quy trình kiểm tra backup và rollback hiện nay gồm những bước nào?</t>
  </si>
  <si>
    <t>Xác định G4 và bằng chứng kỹ thuật</t>
  </si>
  <si>
    <t>Điều kiện nghiệm thu vô điều kiện và có điều kiện khác nhau như thế nào?</t>
  </si>
  <si>
    <t>Xác định G11 và outcomes</t>
  </si>
  <si>
    <t>Yêu cầu tài sản hợp lệ cần có các trường thông tin bắt buộc nào?</t>
  </si>
  <si>
    <t>Xác định G1 và biểu mẫu</t>
  </si>
  <si>
    <t>Tiêu chí chọn nhà cung cấp và số lượng báo giá tối thiểu là gì?</t>
  </si>
  <si>
    <t>Xác định G8–G9</t>
  </si>
  <si>
    <t>Không cấu trúc</t>
  </si>
  <si>
    <t>Anh/chị có thể kể lại một lần triển khai hoặc nghiệm thu bị chậm và nguyên nhân từ đầu đến cuối?</t>
  </si>
  <si>
    <t>Phát hiện Hold/Move/Root cause</t>
  </si>
  <si>
    <t>Operations</t>
  </si>
  <si>
    <t>Điểm khó nhất trong giai đoạn hypercare sau go-live là gì?</t>
  </si>
  <si>
    <t>Nhận diện rủi ro và waste</t>
  </si>
  <si>
    <t>Anh/chị thường gặp trở ngại gì khi xin mua hoặc nhận thiết bị cho dự án?</t>
  </si>
  <si>
    <t>Nhận diện pain point</t>
  </si>
  <si>
    <t>Hãy mô tả một trường hợp tài sản bàn giao nhưng sau đó phải đổi/trả/sửa chữa.</t>
  </si>
  <si>
    <t>Phát hiện lỗi nghiệm thu kỹ thuật</t>
  </si>
  <si>
    <t>Finance/Asset Officer</t>
  </si>
  <si>
    <t>Theo anh/chị, khâu nào gây sai lệch sổ tài sản nhiều nhất và vì sao?</t>
  </si>
  <si>
    <t>Fishbone inventory accuracy</t>
  </si>
  <si>
    <t>Định lượng</t>
  </si>
  <si>
    <t>Release Manager</t>
  </si>
  <si>
    <t>Trong 3 tháng gần nhất có bao nhiêu lần triển khai, bao nhiêu lần rollback?</t>
  </si>
  <si>
    <t>Tính success rate/change failure rate</t>
  </si>
  <si>
    <t>Tỷ lệ UAT đạt ngay lần đầu và số defect production là bao nhiêu?</t>
  </si>
  <si>
    <t>Tính first-pass và leakage</t>
  </si>
  <si>
    <t>PM</t>
  </si>
  <si>
    <t>Trung bình từ lúc được phê duyệt đến lúc ký nghiệm thu mất bao nhiêu giờ/ngày?</t>
  </si>
  <si>
    <t>Lead time/cycle time</t>
  </si>
  <si>
    <t>Tổng số yêu cầu tài sản và số yêu cầu đáp ứng từ kho trong kỳ là bao nhiêu?</t>
  </si>
  <si>
    <t>In-stock fulfillment</t>
  </si>
  <si>
    <t>Bao nhiêu PO giao đúng hạn, trễ hạn và chênh ngân sách?</t>
  </si>
  <si>
    <t>On-time delivery/price variance</t>
  </si>
  <si>
    <t>Những khoảng thời gian chờ nào đang chiếm nhiều nhất trong một đợt triển khai? Ước lượng từng khoảng.</t>
  </si>
  <si>
    <t>Phân rã waiting time</t>
  </si>
  <si>
    <t>Mỗi vòng UAT thường mất bao lâu và cần bao nhiêu người tham gia?</t>
  </si>
  <si>
    <t>Thời gian/chi phí UAT</t>
  </si>
  <si>
    <t>Warehouse/IT</t>
  </si>
  <si>
    <t>Khi kiểm kê gần nhất, sai lệch thường xuất hiện ở nhóm tài sản nào và tỷ lệ ước tính bao nhiêu?</t>
  </si>
  <si>
    <t>Một tài sản từ lúc nhận hàng đến lúc sẵn sàng bàn giao thường tốn bao nhiêu giờ công?</t>
  </si>
  <si>
    <t>Cost/processing time</t>
  </si>
  <si>
    <t>Manager/HR/IT</t>
  </si>
  <si>
    <t>Mỗi tháng có bao nhiêu trường hợp thu hồi trễ hoặc thiếu tài sản khi nhân viên nghỉ/chuyển dự án?</t>
  </si>
  <si>
    <t>Return compliance</t>
  </si>
  <si>
    <t>CHECKLIST ĐỐI CHIẾU RUBRIC – PHẦN CÁ NHÂN</t>
  </si>
  <si>
    <t>Tiêu chí</t>
  </si>
  <si>
    <t>Mức đạt mục tiêu</t>
  </si>
  <si>
    <t>Bằng chứng P06</t>
  </si>
  <si>
    <t>Bằng chứng P10</t>
  </si>
  <si>
    <t>Vị trí GitHub</t>
  </si>
  <si>
    <t>Liệt kê đầy đủ vai trò nội bộ/khách hàng/vendor</t>
  </si>
  <si>
    <t>Bảng tổng quan P06</t>
  </si>
  <si>
    <t>Bảng tổng quan P10</t>
  </si>
  <si>
    <t>week-02, week-03</t>
  </si>
  <si>
    <t>Mô tả các bước</t>
  </si>
  <si>
    <t>Luồng chính + ngoại lệ + đầu vào/đầu ra</t>
  </si>
  <si>
    <t>15 bước</t>
  </si>
  <si>
    <t>18 bước</t>
  </si>
  <si>
    <t>Đối tượng khách hàng</t>
  </si>
  <si>
    <t>Khách hàng trực tiếp và gián tiếp</t>
  </si>
  <si>
    <t>PO/UAT/Ops</t>
  </si>
  <si>
    <t>Nhân viên/dự án</t>
  </si>
  <si>
    <t>Khả năng kết quả</t>
  </si>
  <si>
    <t>Thành công, có điều kiện, từ chối, rollback/tạm hoãn</t>
  </si>
  <si>
    <t>≥5 outcome</t>
  </si>
  <si>
    <t>≥6 outcome</t>
  </si>
  <si>
    <t>BPMN đúng ký hiệu</t>
  </si>
  <si>
    <t>Pool/Lane/Event/Task/Gateway/Flow đúng</t>
  </si>
  <si>
    <t>AS-IS + TO-BE</t>
  </si>
  <si>
    <t>week-04,05,08,09</t>
  </si>
  <si>
    <t>Gateway/Split &amp; Join</t>
  </si>
  <si>
    <t>Không thêm gateway giả; nhánh có ý nghĩa</t>
  </si>
  <si>
    <t>≥8 gateway</t>
  </si>
  <si>
    <t>week-04, week-05</t>
  </si>
  <si>
    <t>Bằng chứng</t>
  </si>
  <si>
    <t>Tài liệu, form, log, biên bản, nguồn chuẩn</t>
  </si>
  <si>
    <t>Evidence register</t>
  </si>
  <si>
    <t>week-01</t>
  </si>
  <si>
    <t>Câu hỏi định tính</t>
  </si>
  <si>
    <t>10 câu: 5 cấu trúc + 5 không cấu trúc</t>
  </si>
  <si>
    <t>5 câu</t>
  </si>
  <si>
    <t>Câu hỏi định lượng</t>
  </si>
  <si>
    <t>VA/BVA/NVA</t>
  </si>
  <si>
    <t>Phân loại từng hoạt động và giải thích</t>
  </si>
  <si>
    <t>Đủ 15 bước</t>
  </si>
  <si>
    <t>Đủ 18 bước</t>
  </si>
  <si>
    <t>week-06, week-07</t>
  </si>
  <si>
    <t>Move/Hold/Overdo</t>
  </si>
  <si>
    <t>Liệt kê, mô tả, hướng khắc phục</t>
  </si>
  <si>
    <t>≥2 mỗi loại</t>
  </si>
  <si>
    <t>Stakeholder</t>
  </si>
  <si>
    <t>Power–Interest hoặc RACI</t>
  </si>
  <si>
    <t>Có ma trận</t>
  </si>
  <si>
    <t>Root cause</t>
  </si>
  <si>
    <t>Chọn Fishbone/Pareto/Root-cause</t>
  </si>
  <si>
    <t>Fishbone chậm nghiệm thu</t>
  </si>
  <si>
    <t>Fishbone chậm cấp phát</t>
  </si>
  <si>
    <t>Có dữ liệu và công thức</t>
  </si>
  <si>
    <t>Lead/cycle time</t>
  </si>
  <si>
    <t>Request-to-issue</t>
  </si>
  <si>
    <t>week-08, week-09</t>
  </si>
  <si>
    <t>Chất lượng</t>
  </si>
  <si>
    <t>Success/UAT/defect</t>
  </si>
  <si>
    <t>Accuracy/acceptance</t>
  </si>
  <si>
    <t>Chi phí</t>
  </si>
  <si>
    <t>Giờ công/downtime</t>
  </si>
  <si>
    <t>Giá mua/giờ công/tồn kho</t>
  </si>
  <si>
    <t>Khắc phục/TO-BE</t>
  </si>
  <si>
    <t>Giải pháp liên kết nguyên nhân và KPI</t>
  </si>
  <si>
    <t>BPMN TO-BE</t>
  </si>
  <si>
    <t>Word/Slide</t>
  </si>
  <si>
    <t>Chính tả, font, mục lục, label, tài liệu tham khảo</t>
  </si>
  <si>
    <t>Chương hoàn chỉnh</t>
  </si>
  <si>
    <t>week-10</t>
  </si>
  <si>
    <t>GitHub liên tục</t>
  </si>
  <si>
    <t>Mỗi tuần 1 Issue và commit có ý nghĩa</t>
  </si>
  <si>
    <t>10 tuần</t>
  </si>
  <si>
    <t>README + Issues</t>
  </si>
  <si>
    <t>CẤU TRÚC GITHUB VÀ QUY TẮC COMMIT</t>
  </si>
  <si>
    <t>Hạng mục</t>
  </si>
  <si>
    <t>Ví dụ</t>
  </si>
  <si>
    <t>Thư mục cá nhân</t>
  </si>
  <si>
    <t>Mỗi tuần tạo 1 thư mục; bên trong có README.md, file hình và file nguồn.</t>
  </si>
  <si>
    <t>Tên Issue</t>
  </si>
  <si>
    <t>[Wxx][P06/P10] Động từ + sản phẩm cần hoàn thành</t>
  </si>
  <si>
    <t>[W04][P06] Hoàn thiện BPMN AS-IS và bảng gateway</t>
  </si>
  <si>
    <t>Commit message</t>
  </si>
  <si>
    <t>Nêu tuần, quy trình và thay đổi cụ thể; không dùng 'update' chung chung.</t>
  </si>
  <si>
    <t>W04-P06: add AS-IS BPMN, gateway checklist and PNG</t>
  </si>
  <si>
    <t>README cá nhân</t>
  </si>
  <si>
    <t>Có bảng tiến độ, link tới từng tuần, khó khăn, việc tiếp theo.</t>
  </si>
  <si>
    <t>Tuần | Issue | Deliverable | Status | Link</t>
  </si>
  <si>
    <t>Pull Request</t>
  </si>
  <si>
    <t>Mỗi mốc lớn tạo PR để nhóm trưởng review; mô tả rubric đã đáp ứng.</t>
  </si>
  <si>
    <t>P06 AS-IS complete – closes #xx</t>
  </si>
  <si>
    <t>Không ghi dữ liệu giả thành dữ liệu doanh nghiệp thật. Gắn nhãn 'minh họa' và nêu cách thay.</t>
  </si>
  <si>
    <t>data/sample_metrics.csv</t>
  </si>
  <si>
    <t>Link repo</t>
  </si>
  <si>
    <t>https://github.com/DannyHieu/business-process-management</t>
  </si>
  <si>
    <t>Thư mục hiện tại: /nguyen-thi-hien</t>
  </si>
  <si>
    <t>NGUỒN THAM KHẢO ĐỀ XUẤT (GHI TRONG BÁO CÁO/EVIDENCE REGISTER)</t>
  </si>
  <si>
    <t>Nguồn</t>
  </si>
  <si>
    <t>Mục đích sử dụng</t>
  </si>
  <si>
    <t>URL</t>
  </si>
  <si>
    <t>ISO/IEC/IEEE 12207:2017</t>
  </si>
  <si>
    <t>Khung quy trình vòng đời phần mềm</t>
  </si>
  <si>
    <t>https://www.iso.org/standard/63712.html</t>
  </si>
  <si>
    <t>ISO/IEC 25010:2023</t>
  </si>
  <si>
    <t>Tiêu chí chất lượng và tiêu chí nghiệm thu</t>
  </si>
  <si>
    <t>https://www.iso.org/standard/78176.html</t>
  </si>
  <si>
    <t>ISTQB Certified Tester Acceptance Testing</t>
  </si>
  <si>
    <t>Khái niệm và hoạt động acceptance testing</t>
  </si>
  <si>
    <t>https://www.istqb.org/certifications/certified-tester-acceptance-testing-ct-act/</t>
  </si>
  <si>
    <t>ISO/IEC 19770-1:2017</t>
  </si>
  <si>
    <t>Hệ thống quản lý tài sản CNTT</t>
  </si>
  <si>
    <t>https://www.iso.org/standard/68531.html</t>
  </si>
  <si>
    <t>CIS Control 1</t>
  </si>
  <si>
    <t>Kiểm kê và kiểm soát tài sản doanh nghiệp</t>
  </si>
  <si>
    <t>https://www.cisecurity.org/controls/inventory-and-control-of-enterprise-assets</t>
  </si>
  <si>
    <t>CIS Control 2</t>
  </si>
  <si>
    <t>Kiểm kê và kiểm soát tài sản phần mềm</t>
  </si>
  <si>
    <t>https://www.cisecurity.org/controls/inventory-and-control-of-software-assets</t>
  </si>
  <si>
    <t>NIST CSF 2.0</t>
  </si>
  <si>
    <t>Quản trị rủi ro và quản lý tài sản/bảo mật</t>
  </si>
  <si>
    <t>https://www.nist.gov/cyberframework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</si>
</sst>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name val="Carlito"/>
    </font>
    <font>
      <b/>
      <sz val="16"/>
      <color rgb="FFFFFFFF"/>
      <name val="Carlito"/>
    </font>
    <font>
      <i/>
      <sz val="11"/>
      <color rgb="FF7F6000"/>
      <name val="Carlito"/>
    </font>
    <font>
      <b/>
      <sz val="11"/>
      <color rgb="FF17365D"/>
      <name val="Carlito"/>
    </font>
    <font>
      <b/>
      <sz val="11"/>
      <color rgb="FFFFFFFF"/>
      <name val="Carlito"/>
    </font>
    <font>
      <u/>
      <sz val="11"/>
      <color theme="1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4472C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8">
    <xf numFmtId="0" fontId="0" fillId="0" borderId="0" xfId="0"/>
    <xf numFmtId="0" fontId="4" fillId="5" borderId="0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wrapText="1"/>
    </xf>
    <xf numFmtId="0" fontId="0" fillId="0" borderId="7" xfId="0" applyNumberFormat="1" applyFont="1" applyFill="1" applyBorder="1" applyAlignment="1">
      <alignment wrapText="1"/>
    </xf>
    <xf numFmtId="0" fontId="0" fillId="0" borderId="2" xfId="0" applyNumberFormat="1" applyFont="1" applyFill="1" applyBorder="1" applyAlignment="1">
      <alignment wrapText="1"/>
    </xf>
    <xf numFmtId="0" fontId="0" fillId="0" borderId="5" xfId="0" applyNumberFormat="1" applyFont="1" applyFill="1" applyBorder="1" applyAlignment="1">
      <alignment wrapText="1"/>
    </xf>
    <xf numFmtId="0" fontId="0" fillId="0" borderId="8" xfId="0" applyNumberFormat="1" applyFont="1" applyFill="1" applyBorder="1" applyAlignment="1">
      <alignment wrapText="1"/>
    </xf>
    <xf numFmtId="0" fontId="0" fillId="0" borderId="6" xfId="0" applyNumberFormat="1" applyFont="1" applyFill="1" applyBorder="1" applyAlignment="1">
      <alignment wrapText="1"/>
    </xf>
    <xf numFmtId="0" fontId="0" fillId="0" borderId="3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0" fillId="0" borderId="4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top"/>
    </xf>
    <xf numFmtId="0" fontId="4" fillId="5" borderId="0" xfId="0" applyNumberFormat="1" applyFont="1" applyFill="1" applyBorder="1" applyAlignment="1">
      <alignment horizontal="center" vertical="top" wrapText="1"/>
    </xf>
    <xf numFmtId="0" fontId="0" fillId="0" borderId="1" xfId="0" applyNumberFormat="1" applyFont="1" applyFill="1" applyBorder="1" applyAlignment="1">
      <alignment vertical="top"/>
    </xf>
    <xf numFmtId="0" fontId="0" fillId="0" borderId="2" xfId="0" applyNumberFormat="1" applyFont="1" applyFill="1" applyBorder="1" applyAlignment="1">
      <alignment vertical="top"/>
    </xf>
    <xf numFmtId="0" fontId="0" fillId="0" borderId="1" xfId="0" applyNumberFormat="1" applyFont="1" applyFill="1" applyBorder="1" applyAlignment="1">
      <alignment vertical="top" wrapText="1"/>
    </xf>
    <xf numFmtId="0" fontId="0" fillId="0" borderId="7" xfId="0" applyNumberFormat="1" applyFont="1" applyFill="1" applyBorder="1" applyAlignment="1">
      <alignment vertical="top" wrapText="1"/>
    </xf>
    <xf numFmtId="0" fontId="0" fillId="0" borderId="2" xfId="0" applyNumberFormat="1" applyFont="1" applyFill="1" applyBorder="1" applyAlignment="1">
      <alignment vertical="top" wrapText="1"/>
    </xf>
    <xf numFmtId="0" fontId="0" fillId="0" borderId="3" xfId="0" applyNumberFormat="1" applyFont="1" applyFill="1" applyBorder="1" applyAlignment="1">
      <alignment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 wrapText="1"/>
    </xf>
    <xf numFmtId="0" fontId="0" fillId="0" borderId="8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/>
    </xf>
    <xf numFmtId="9" fontId="0" fillId="0" borderId="6" xfId="0" applyNumberFormat="1" applyFont="1" applyFill="1" applyBorder="1" applyAlignment="1">
      <alignment vertical="top"/>
    </xf>
    <xf numFmtId="0" fontId="0" fillId="0" borderId="3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4" fillId="5" borderId="9" xfId="0" applyNumberFormat="1" applyFont="1" applyFill="1" applyBorder="1" applyAlignment="1">
      <alignment horizontal="center" vertical="top" wrapText="1"/>
    </xf>
    <xf numFmtId="0" fontId="0" fillId="0" borderId="9" xfId="0" applyNumberFormat="1" applyFont="1" applyFill="1" applyBorder="1" applyAlignment="1">
      <alignment vertical="top" wrapText="1"/>
    </xf>
    <xf numFmtId="9" fontId="0" fillId="0" borderId="9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horizontal="center" vertical="top"/>
    </xf>
    <xf numFmtId="0" fontId="2" fillId="3" borderId="0" xfId="0" applyNumberFormat="1" applyFont="1" applyFill="1" applyBorder="1" applyAlignment="1">
      <alignment vertical="top" wrapText="1"/>
    </xf>
    <xf numFmtId="0" fontId="3" fillId="4" borderId="0" xfId="0" applyNumberFormat="1" applyFont="1" applyFill="1" applyBorder="1" applyAlignment="1">
      <alignment vertical="top"/>
    </xf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wrapText="1"/>
    </xf>
    <xf numFmtId="0" fontId="3" fillId="4" borderId="0" xfId="0" applyNumberFormat="1" applyFont="1" applyFill="1" applyBorder="1" applyAlignment="1">
      <alignment vertical="center"/>
    </xf>
    <xf numFmtId="0" fontId="5" fillId="0" borderId="2" xfId="1" applyNumberFormat="1" applyFill="1" applyBorder="1" applyAlignment="1">
      <alignment wrapText="1"/>
    </xf>
  </cellXfs>
  <cellStyles count="2">
    <cellStyle name="Hyperlink" xfId="1" builtinId="8"/>
    <cellStyle name="Normal" xfId="0" builtinId="0"/>
  </cellStyles>
  <dxfs count="5">
    <dxf>
      <font>
        <color rgb="FF9C0006"/>
      </font>
      <fill>
        <patternFill patternType="solid">
          <bgColor rgb="FFF4CCCC"/>
        </patternFill>
      </fill>
    </dxf>
    <dxf>
      <font>
        <b/>
        <color rgb="FF385723"/>
      </font>
      <fill>
        <patternFill patternType="solid">
          <bgColor rgb="FFC6E0B4"/>
        </patternFill>
      </fill>
    </dxf>
    <dxf>
      <font>
        <color rgb="FF843C0C"/>
      </font>
      <fill>
        <patternFill patternType="solid">
          <bgColor rgb="FFF4B183"/>
        </patternFill>
      </fill>
    </dxf>
    <dxf>
      <font>
        <color rgb="FF7F6000"/>
      </font>
      <fill>
        <patternFill patternType="solid">
          <bgColor rgb="FFFFE699"/>
        </patternFill>
      </fill>
    </dxf>
    <dxf>
      <font>
        <b/>
        <color rgb="FF385723"/>
      </font>
      <fill>
        <patternFill patternType="solid"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so.org/standard/6371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>
      <selection activeCell="F14" sqref="F14"/>
    </sheetView>
  </sheetViews>
  <sheetFormatPr defaultRowHeight="13.8"/>
  <cols>
    <col min="1" max="1" width="16.3984375" customWidth="1"/>
    <col min="2" max="2" width="16.5" customWidth="1"/>
    <col min="3" max="3" width="23" customWidth="1"/>
    <col min="4" max="4" width="6.5" customWidth="1"/>
    <col min="5" max="5" width="12.19921875" customWidth="1"/>
    <col min="6" max="6" width="30.19921875" customWidth="1"/>
    <col min="7" max="7" width="24" customWidth="1"/>
    <col min="8" max="8" width="29.19921875" customWidth="1"/>
  </cols>
  <sheetData>
    <row r="1" spans="1:8">
      <c r="A1" s="31" t="s">
        <v>0</v>
      </c>
      <c r="B1" s="31"/>
      <c r="C1" s="31"/>
      <c r="D1" s="31"/>
      <c r="E1" s="31"/>
      <c r="F1" s="31"/>
      <c r="G1" s="31"/>
      <c r="H1" s="31"/>
    </row>
    <row r="2" spans="1:8">
      <c r="A2" s="31"/>
      <c r="B2" s="31"/>
      <c r="C2" s="31"/>
      <c r="D2" s="31"/>
      <c r="E2" s="31"/>
      <c r="F2" s="31"/>
      <c r="G2" s="31"/>
      <c r="H2" s="31"/>
    </row>
    <row r="3" spans="1:8" ht="14.4">
      <c r="A3" s="32" t="s">
        <v>1</v>
      </c>
      <c r="B3" s="32"/>
      <c r="C3" s="32"/>
      <c r="D3" s="32"/>
      <c r="E3" s="32"/>
      <c r="F3" s="32"/>
      <c r="G3" s="32"/>
      <c r="H3" s="32"/>
    </row>
    <row r="4" spans="1:8">
      <c r="A4" s="11"/>
      <c r="B4" s="11"/>
      <c r="C4" s="11"/>
      <c r="D4" s="11"/>
      <c r="E4" s="11"/>
      <c r="F4" s="11"/>
      <c r="G4" s="11"/>
      <c r="H4" s="11"/>
    </row>
    <row r="5" spans="1:8">
      <c r="A5" s="33" t="s">
        <v>2</v>
      </c>
      <c r="B5" s="33"/>
      <c r="C5" s="11"/>
      <c r="D5" s="33" t="s">
        <v>3</v>
      </c>
      <c r="E5" s="33"/>
      <c r="F5" s="33"/>
      <c r="G5" s="33"/>
      <c r="H5" s="33"/>
    </row>
    <row r="6" spans="1:8">
      <c r="A6" s="12" t="s">
        <v>4</v>
      </c>
      <c r="B6" s="12" t="s">
        <v>5</v>
      </c>
      <c r="C6" s="11"/>
      <c r="D6" s="12" t="s">
        <v>6</v>
      </c>
      <c r="E6" s="12" t="s">
        <v>7</v>
      </c>
      <c r="F6" s="12" t="s">
        <v>8</v>
      </c>
      <c r="G6" s="12" t="s">
        <v>9</v>
      </c>
      <c r="H6" s="12" t="s">
        <v>10</v>
      </c>
    </row>
    <row r="7" spans="1:8" ht="27.6">
      <c r="A7" s="13" t="s">
        <v>11</v>
      </c>
      <c r="B7" s="14">
        <v>10</v>
      </c>
      <c r="C7" s="11"/>
      <c r="D7" s="15" t="s">
        <v>12</v>
      </c>
      <c r="E7" s="16" t="s">
        <v>13</v>
      </c>
      <c r="F7" s="16" t="s">
        <v>14</v>
      </c>
      <c r="G7" s="16" t="s">
        <v>15</v>
      </c>
      <c r="H7" s="17" t="s">
        <v>16</v>
      </c>
    </row>
    <row r="8" spans="1:8" ht="27.6">
      <c r="A8" s="18" t="s">
        <v>17</v>
      </c>
      <c r="B8" s="19">
        <v>2</v>
      </c>
      <c r="C8" s="11"/>
      <c r="D8" s="20" t="s">
        <v>18</v>
      </c>
      <c r="E8" s="21" t="s">
        <v>19</v>
      </c>
      <c r="F8" s="21" t="s">
        <v>20</v>
      </c>
      <c r="G8" s="21" t="s">
        <v>21</v>
      </c>
      <c r="H8" s="22" t="s">
        <v>22</v>
      </c>
    </row>
    <row r="9" spans="1:8">
      <c r="A9" s="18" t="s">
        <v>23</v>
      </c>
      <c r="B9" s="19">
        <v>20</v>
      </c>
      <c r="C9" s="11"/>
      <c r="D9" s="11"/>
      <c r="E9" s="11"/>
      <c r="F9" s="11"/>
      <c r="G9" s="11"/>
      <c r="H9" s="11"/>
    </row>
    <row r="10" spans="1:8">
      <c r="A10" s="18" t="s">
        <v>24</v>
      </c>
      <c r="B10" s="19">
        <v>18</v>
      </c>
      <c r="C10" s="11"/>
      <c r="D10" s="11"/>
      <c r="E10" s="11"/>
      <c r="F10" s="11"/>
      <c r="G10" s="11"/>
      <c r="H10" s="11"/>
    </row>
    <row r="11" spans="1:8">
      <c r="A11" s="23" t="s">
        <v>25</v>
      </c>
      <c r="B11" s="24">
        <f>COUNTIF(Ke_hoach_10_tuan!J6:J15,"Hoàn thành")/COUNTA(Ke_hoach_10_tuan!A6:A15)</f>
        <v>0</v>
      </c>
      <c r="C11" s="11"/>
      <c r="D11" s="11"/>
      <c r="E11" s="11"/>
      <c r="F11" s="11"/>
      <c r="G11" s="11"/>
      <c r="H11" s="11"/>
    </row>
    <row r="12" spans="1:8">
      <c r="A12" s="11"/>
      <c r="B12" s="11"/>
      <c r="C12" s="11"/>
      <c r="D12" s="11"/>
      <c r="E12" s="11"/>
      <c r="F12" s="11"/>
      <c r="G12" s="11"/>
      <c r="H12" s="11"/>
    </row>
    <row r="13" spans="1:8">
      <c r="A13" s="33" t="s">
        <v>26</v>
      </c>
      <c r="B13" s="33"/>
      <c r="C13" s="33"/>
      <c r="D13" s="33"/>
      <c r="E13" s="33"/>
      <c r="F13" s="33"/>
      <c r="G13" s="33"/>
      <c r="H13" s="33"/>
    </row>
    <row r="14" spans="1:8" ht="52.65" customHeight="1">
      <c r="A14" s="28" t="s">
        <v>27</v>
      </c>
      <c r="B14" s="28" t="s">
        <v>28</v>
      </c>
      <c r="C14" s="28" t="s">
        <v>29</v>
      </c>
      <c r="D14" s="11"/>
      <c r="E14" s="11"/>
      <c r="F14" s="11"/>
      <c r="G14" s="11"/>
      <c r="H14" s="11"/>
    </row>
    <row r="15" spans="1:8" ht="66" customHeight="1">
      <c r="A15" s="29" t="s">
        <v>30</v>
      </c>
      <c r="B15" s="29" t="s">
        <v>31</v>
      </c>
      <c r="C15" s="29" t="s">
        <v>32</v>
      </c>
      <c r="D15" s="11"/>
      <c r="E15" s="11"/>
      <c r="F15" s="11"/>
      <c r="G15" s="11"/>
      <c r="H15" s="11"/>
    </row>
    <row r="16" spans="1:8" ht="66" customHeight="1">
      <c r="A16" s="29" t="s">
        <v>33</v>
      </c>
      <c r="B16" s="29" t="s">
        <v>34</v>
      </c>
      <c r="C16" s="29" t="s">
        <v>35</v>
      </c>
      <c r="D16" s="11"/>
      <c r="E16" s="11"/>
      <c r="F16" s="11"/>
      <c r="G16" s="11"/>
      <c r="H16" s="11"/>
    </row>
    <row r="17" spans="1:8" ht="66" customHeight="1">
      <c r="A17" s="29" t="s">
        <v>36</v>
      </c>
      <c r="B17" s="29" t="s">
        <v>37</v>
      </c>
      <c r="C17" s="29" t="s">
        <v>38</v>
      </c>
      <c r="D17" s="11"/>
      <c r="E17" s="11"/>
      <c r="F17" s="11"/>
      <c r="G17" s="11"/>
      <c r="H17" s="11"/>
    </row>
    <row r="18" spans="1:8" ht="66" customHeight="1">
      <c r="A18" s="29" t="s">
        <v>39</v>
      </c>
      <c r="B18" s="29" t="s">
        <v>40</v>
      </c>
      <c r="C18" s="29" t="s">
        <v>41</v>
      </c>
      <c r="D18" s="11"/>
      <c r="E18" s="11"/>
      <c r="F18" s="11"/>
      <c r="G18" s="11"/>
      <c r="H18" s="11"/>
    </row>
    <row r="19" spans="1:8" ht="66" customHeight="1">
      <c r="A19" s="29" t="s">
        <v>42</v>
      </c>
      <c r="B19" s="29" t="s">
        <v>43</v>
      </c>
      <c r="C19" s="29" t="s">
        <v>44</v>
      </c>
      <c r="D19" s="11"/>
      <c r="E19" s="11"/>
      <c r="F19" s="11"/>
      <c r="G19" s="11"/>
      <c r="H19" s="11"/>
    </row>
    <row r="20" spans="1:8" ht="66" customHeight="1">
      <c r="A20" s="29" t="s">
        <v>45</v>
      </c>
      <c r="B20" s="29" t="s">
        <v>46</v>
      </c>
      <c r="C20" s="29" t="s">
        <v>47</v>
      </c>
      <c r="D20" s="11"/>
      <c r="E20" s="11"/>
      <c r="F20" s="11"/>
      <c r="G20" s="11"/>
      <c r="H20" s="11"/>
    </row>
  </sheetData>
  <mergeCells count="5">
    <mergeCell ref="A1:H2"/>
    <mergeCell ref="A3:H3"/>
    <mergeCell ref="A5:B5"/>
    <mergeCell ref="D5:H5"/>
    <mergeCell ref="A13:H13"/>
  </mergeCells>
  <pageMargins left="0.28999999999999998" right="0.21" top="0.33" bottom="0.25" header="0.2" footer="0.2"/>
  <pageSetup paperSize="9" scale="8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selection activeCell="G11" sqref="G11"/>
    </sheetView>
  </sheetViews>
  <sheetFormatPr defaultRowHeight="13.8"/>
  <cols>
    <col min="1" max="1" width="5.5" customWidth="1"/>
    <col min="2" max="2" width="11.09765625" customWidth="1"/>
    <col min="3" max="3" width="15.19921875" customWidth="1"/>
    <col min="4" max="4" width="4.8984375" customWidth="1"/>
    <col min="5" max="5" width="20.69921875" customWidth="1"/>
    <col min="6" max="6" width="27.59765625" customWidth="1"/>
    <col min="7" max="7" width="16.5" customWidth="1"/>
    <col min="8" max="8" width="24.5" customWidth="1"/>
    <col min="9" max="9" width="17" customWidth="1"/>
    <col min="10" max="10" width="9.8984375" customWidth="1"/>
    <col min="11" max="11" width="8.19921875" customWidth="1"/>
  </cols>
  <sheetData>
    <row r="1" spans="1:11">
      <c r="A1" s="34" t="s">
        <v>48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 ht="14.4">
      <c r="A3" s="35" t="s">
        <v>49</v>
      </c>
      <c r="B3" s="35"/>
      <c r="C3" s="35"/>
      <c r="D3" s="35"/>
      <c r="E3" s="35"/>
      <c r="F3" s="35"/>
      <c r="G3" s="35"/>
      <c r="H3" s="35"/>
      <c r="I3" s="35"/>
      <c r="J3" s="35"/>
      <c r="K3" s="35"/>
    </row>
    <row r="5" spans="1:11" ht="15" customHeight="1">
      <c r="A5" s="28" t="s">
        <v>50</v>
      </c>
      <c r="B5" s="28" t="s">
        <v>51</v>
      </c>
      <c r="C5" s="28" t="s">
        <v>52</v>
      </c>
      <c r="D5" s="28" t="s">
        <v>53</v>
      </c>
      <c r="E5" s="28" t="s">
        <v>54</v>
      </c>
      <c r="F5" s="28" t="s">
        <v>55</v>
      </c>
      <c r="G5" s="28" t="s">
        <v>56</v>
      </c>
      <c r="H5" s="28" t="s">
        <v>57</v>
      </c>
      <c r="I5" s="28" t="s">
        <v>58</v>
      </c>
      <c r="J5" s="28" t="s">
        <v>59</v>
      </c>
      <c r="K5" s="28" t="s">
        <v>60</v>
      </c>
    </row>
    <row r="6" spans="1:11" ht="54" customHeight="1">
      <c r="A6" s="29">
        <v>1</v>
      </c>
      <c r="B6" s="29" t="s">
        <v>61</v>
      </c>
      <c r="C6" s="29" t="s">
        <v>62</v>
      </c>
      <c r="D6" s="29" t="s">
        <v>63</v>
      </c>
      <c r="E6" s="29" t="s">
        <v>64</v>
      </c>
      <c r="F6" s="29" t="s">
        <v>65</v>
      </c>
      <c r="G6" s="29" t="s">
        <v>66</v>
      </c>
      <c r="H6" s="29" t="s">
        <v>67</v>
      </c>
      <c r="I6" s="29" t="s">
        <v>68</v>
      </c>
      <c r="J6" s="29" t="s">
        <v>69</v>
      </c>
      <c r="K6" s="30">
        <f t="shared" ref="K6:K15" si="0">IF(J6="Hoàn thành",1,IF(J6="Đang làm",0.5,0))</f>
        <v>0</v>
      </c>
    </row>
    <row r="7" spans="1:11" ht="54" customHeight="1">
      <c r="A7" s="29">
        <v>2</v>
      </c>
      <c r="B7" s="29" t="s">
        <v>70</v>
      </c>
      <c r="C7" s="29" t="s">
        <v>71</v>
      </c>
      <c r="D7" s="29" t="s">
        <v>12</v>
      </c>
      <c r="E7" s="29" t="s">
        <v>72</v>
      </c>
      <c r="F7" s="29" t="s">
        <v>73</v>
      </c>
      <c r="G7" s="29" t="s">
        <v>74</v>
      </c>
      <c r="H7" s="29" t="s">
        <v>75</v>
      </c>
      <c r="I7" s="29" t="s">
        <v>76</v>
      </c>
      <c r="J7" s="29" t="s">
        <v>69</v>
      </c>
      <c r="K7" s="30">
        <f t="shared" si="0"/>
        <v>0</v>
      </c>
    </row>
    <row r="8" spans="1:11" ht="54" customHeight="1">
      <c r="A8" s="29">
        <v>3</v>
      </c>
      <c r="B8" s="29" t="s">
        <v>77</v>
      </c>
      <c r="C8" s="29" t="s">
        <v>78</v>
      </c>
      <c r="D8" s="29" t="s">
        <v>18</v>
      </c>
      <c r="E8" s="29" t="s">
        <v>79</v>
      </c>
      <c r="F8" s="29" t="s">
        <v>80</v>
      </c>
      <c r="G8" s="29" t="s">
        <v>74</v>
      </c>
      <c r="H8" s="29" t="s">
        <v>81</v>
      </c>
      <c r="I8" s="29" t="s">
        <v>82</v>
      </c>
      <c r="J8" s="29" t="s">
        <v>69</v>
      </c>
      <c r="K8" s="30">
        <f t="shared" si="0"/>
        <v>0</v>
      </c>
    </row>
    <row r="9" spans="1:11" ht="54" customHeight="1">
      <c r="A9" s="29">
        <v>4</v>
      </c>
      <c r="B9" s="29" t="s">
        <v>83</v>
      </c>
      <c r="C9" s="29" t="s">
        <v>84</v>
      </c>
      <c r="D9" s="29" t="s">
        <v>12</v>
      </c>
      <c r="E9" s="29" t="s">
        <v>85</v>
      </c>
      <c r="F9" s="29" t="s">
        <v>86</v>
      </c>
      <c r="G9" s="29" t="s">
        <v>87</v>
      </c>
      <c r="H9" s="29" t="s">
        <v>88</v>
      </c>
      <c r="I9" s="29" t="s">
        <v>89</v>
      </c>
      <c r="J9" s="29" t="s">
        <v>69</v>
      </c>
      <c r="K9" s="30">
        <f t="shared" si="0"/>
        <v>0</v>
      </c>
    </row>
    <row r="10" spans="1:11" ht="54" customHeight="1">
      <c r="A10" s="29">
        <v>5</v>
      </c>
      <c r="B10" s="29" t="s">
        <v>90</v>
      </c>
      <c r="C10" s="29" t="s">
        <v>91</v>
      </c>
      <c r="D10" s="29" t="s">
        <v>18</v>
      </c>
      <c r="E10" s="29" t="s">
        <v>92</v>
      </c>
      <c r="F10" s="29" t="s">
        <v>86</v>
      </c>
      <c r="G10" s="29" t="s">
        <v>93</v>
      </c>
      <c r="H10" s="29" t="s">
        <v>94</v>
      </c>
      <c r="I10" s="29" t="s">
        <v>95</v>
      </c>
      <c r="J10" s="29" t="s">
        <v>69</v>
      </c>
      <c r="K10" s="30">
        <f t="shared" si="0"/>
        <v>0</v>
      </c>
    </row>
    <row r="11" spans="1:11" ht="54" customHeight="1">
      <c r="A11" s="29">
        <v>6</v>
      </c>
      <c r="B11" s="29" t="s">
        <v>96</v>
      </c>
      <c r="C11" s="29" t="s">
        <v>97</v>
      </c>
      <c r="D11" s="29" t="s">
        <v>12</v>
      </c>
      <c r="E11" s="29" t="s">
        <v>98</v>
      </c>
      <c r="F11" s="29" t="s">
        <v>99</v>
      </c>
      <c r="G11" s="29" t="s">
        <v>100</v>
      </c>
      <c r="H11" s="29" t="s">
        <v>101</v>
      </c>
      <c r="I11" s="29" t="s">
        <v>102</v>
      </c>
      <c r="J11" s="29" t="s">
        <v>69</v>
      </c>
      <c r="K11" s="30">
        <f t="shared" si="0"/>
        <v>0</v>
      </c>
    </row>
    <row r="12" spans="1:11" ht="54" customHeight="1">
      <c r="A12" s="29">
        <v>7</v>
      </c>
      <c r="B12" s="29" t="s">
        <v>103</v>
      </c>
      <c r="C12" s="29" t="s">
        <v>104</v>
      </c>
      <c r="D12" s="29" t="s">
        <v>18</v>
      </c>
      <c r="E12" s="29" t="s">
        <v>105</v>
      </c>
      <c r="F12" s="29" t="s">
        <v>99</v>
      </c>
      <c r="G12" s="29" t="s">
        <v>100</v>
      </c>
      <c r="H12" s="29" t="s">
        <v>106</v>
      </c>
      <c r="I12" s="29" t="s">
        <v>107</v>
      </c>
      <c r="J12" s="29" t="s">
        <v>69</v>
      </c>
      <c r="K12" s="30">
        <f t="shared" si="0"/>
        <v>0</v>
      </c>
    </row>
    <row r="13" spans="1:11" ht="54" customHeight="1">
      <c r="A13" s="29">
        <v>8</v>
      </c>
      <c r="B13" s="29" t="s">
        <v>108</v>
      </c>
      <c r="C13" s="29" t="s">
        <v>109</v>
      </c>
      <c r="D13" s="29" t="s">
        <v>12</v>
      </c>
      <c r="E13" s="29" t="s">
        <v>110</v>
      </c>
      <c r="F13" s="29" t="s">
        <v>111</v>
      </c>
      <c r="G13" s="29" t="s">
        <v>112</v>
      </c>
      <c r="H13" s="29" t="s">
        <v>113</v>
      </c>
      <c r="I13" s="29" t="s">
        <v>114</v>
      </c>
      <c r="J13" s="29" t="s">
        <v>69</v>
      </c>
      <c r="K13" s="30">
        <f t="shared" si="0"/>
        <v>0</v>
      </c>
    </row>
    <row r="14" spans="1:11" ht="54" customHeight="1">
      <c r="A14" s="29">
        <v>9</v>
      </c>
      <c r="B14" s="29" t="s">
        <v>115</v>
      </c>
      <c r="C14" s="29" t="s">
        <v>116</v>
      </c>
      <c r="D14" s="29" t="s">
        <v>18</v>
      </c>
      <c r="E14" s="29" t="s">
        <v>117</v>
      </c>
      <c r="F14" s="29" t="s">
        <v>111</v>
      </c>
      <c r="G14" s="29" t="s">
        <v>112</v>
      </c>
      <c r="H14" s="29" t="s">
        <v>118</v>
      </c>
      <c r="I14" s="29" t="s">
        <v>119</v>
      </c>
      <c r="J14" s="29" t="s">
        <v>69</v>
      </c>
      <c r="K14" s="30">
        <f t="shared" si="0"/>
        <v>0</v>
      </c>
    </row>
    <row r="15" spans="1:11" ht="54" customHeight="1">
      <c r="A15" s="29">
        <v>10</v>
      </c>
      <c r="B15" s="29" t="s">
        <v>120</v>
      </c>
      <c r="C15" s="29" t="s">
        <v>121</v>
      </c>
      <c r="D15" s="29" t="s">
        <v>63</v>
      </c>
      <c r="E15" s="29" t="s">
        <v>122</v>
      </c>
      <c r="F15" s="29" t="s">
        <v>123</v>
      </c>
      <c r="G15" s="29" t="s">
        <v>124</v>
      </c>
      <c r="H15" s="29" t="s">
        <v>125</v>
      </c>
      <c r="I15" s="29" t="s">
        <v>126</v>
      </c>
      <c r="J15" s="29" t="s">
        <v>69</v>
      </c>
      <c r="K15" s="30">
        <f t="shared" si="0"/>
        <v>0</v>
      </c>
    </row>
  </sheetData>
  <mergeCells count="2">
    <mergeCell ref="A1:K2"/>
    <mergeCell ref="A3:K3"/>
  </mergeCells>
  <conditionalFormatting sqref="J6:J15">
    <cfRule type="expression" dxfId="4" priority="1">
      <formula>J6="Hoàn thành"</formula>
    </cfRule>
    <cfRule type="expression" dxfId="3" priority="2">
      <formula>J6="Đang làm"</formula>
    </cfRule>
    <cfRule type="expression" dxfId="2" priority="3">
      <formula>J6="Chờ phản hồi"</formula>
    </cfRule>
  </conditionalFormatting>
  <dataValidations count="1">
    <dataValidation type="list" sqref="J6:J15">
      <formula1>"Chưa bắt đầu,Đang làm,Chờ phản hồi,Hoàn thành"</formula1>
    </dataValidation>
  </dataValidations>
  <pageMargins left="0.24" right="0.16" top="0.75" bottom="0.75" header="0.3" footer="0.3"/>
  <pageSetup paperSize="9" scale="8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selection sqref="A1:H2"/>
    </sheetView>
  </sheetViews>
  <sheetFormatPr defaultRowHeight="13.8"/>
  <cols>
    <col min="1" max="1" width="7" customWidth="1"/>
    <col min="2" max="2" width="22" customWidth="1"/>
    <col min="3" max="3" width="40" customWidth="1"/>
    <col min="4" max="4" width="24" customWidth="1"/>
    <col min="5" max="5" width="32" customWidth="1"/>
    <col min="6" max="6" width="28" customWidth="1"/>
    <col min="7" max="7" width="30" customWidth="1"/>
    <col min="8" max="8" width="32" customWidth="1"/>
  </cols>
  <sheetData>
    <row r="1" spans="1:8">
      <c r="A1" s="31" t="s">
        <v>127</v>
      </c>
      <c r="B1" s="31"/>
      <c r="C1" s="31"/>
      <c r="D1" s="31"/>
      <c r="E1" s="31"/>
      <c r="F1" s="31"/>
      <c r="G1" s="31"/>
      <c r="H1" s="31"/>
    </row>
    <row r="2" spans="1:8">
      <c r="A2" s="31"/>
      <c r="B2" s="31"/>
      <c r="C2" s="31"/>
      <c r="D2" s="31"/>
      <c r="E2" s="31"/>
      <c r="F2" s="31"/>
      <c r="G2" s="31"/>
      <c r="H2" s="31"/>
    </row>
    <row r="3" spans="1:8">
      <c r="A3" s="11"/>
      <c r="B3" s="11"/>
      <c r="C3" s="11"/>
      <c r="D3" s="11"/>
      <c r="E3" s="11"/>
      <c r="F3" s="11"/>
      <c r="G3" s="11"/>
      <c r="H3" s="11"/>
    </row>
    <row r="4" spans="1:8" ht="26.4" customHeight="1">
      <c r="A4" s="12" t="s">
        <v>128</v>
      </c>
      <c r="B4" s="12" t="s">
        <v>129</v>
      </c>
      <c r="C4" s="11"/>
      <c r="D4" s="11"/>
      <c r="E4" s="11"/>
      <c r="F4" s="11"/>
      <c r="G4" s="11"/>
      <c r="H4" s="11"/>
    </row>
    <row r="5" spans="1:8" ht="26.4" customHeight="1">
      <c r="A5" s="15" t="s">
        <v>7</v>
      </c>
      <c r="B5" s="17" t="s">
        <v>130</v>
      </c>
      <c r="C5" s="11"/>
      <c r="D5" s="11"/>
      <c r="E5" s="11"/>
      <c r="F5" s="11"/>
      <c r="G5" s="11"/>
      <c r="H5" s="11"/>
    </row>
    <row r="6" spans="1:8" ht="66" customHeight="1">
      <c r="A6" s="25" t="s">
        <v>131</v>
      </c>
      <c r="B6" s="27" t="s">
        <v>132</v>
      </c>
      <c r="C6" s="11"/>
      <c r="D6" s="11"/>
      <c r="E6" s="11"/>
      <c r="F6" s="11"/>
      <c r="G6" s="11"/>
      <c r="H6" s="11"/>
    </row>
    <row r="7" spans="1:8" ht="39.6" customHeight="1">
      <c r="A7" s="25" t="s">
        <v>133</v>
      </c>
      <c r="B7" s="27" t="s">
        <v>134</v>
      </c>
      <c r="C7" s="11"/>
      <c r="D7" s="11"/>
      <c r="E7" s="11"/>
      <c r="F7" s="11"/>
      <c r="G7" s="11"/>
      <c r="H7" s="11"/>
    </row>
    <row r="8" spans="1:8" ht="52.65" customHeight="1">
      <c r="A8" s="25" t="s">
        <v>135</v>
      </c>
      <c r="B8" s="27" t="s">
        <v>136</v>
      </c>
      <c r="C8" s="11"/>
      <c r="D8" s="11"/>
      <c r="E8" s="11"/>
      <c r="F8" s="11"/>
      <c r="G8" s="11"/>
      <c r="H8" s="11"/>
    </row>
    <row r="9" spans="1:8" ht="52.65" customHeight="1">
      <c r="A9" s="25" t="s">
        <v>137</v>
      </c>
      <c r="B9" s="27" t="s">
        <v>138</v>
      </c>
      <c r="C9" s="11"/>
      <c r="D9" s="11"/>
      <c r="E9" s="11"/>
      <c r="F9" s="11"/>
      <c r="G9" s="11"/>
      <c r="H9" s="11"/>
    </row>
    <row r="10" spans="1:8" ht="79.2" customHeight="1">
      <c r="A10" s="25" t="s">
        <v>139</v>
      </c>
      <c r="B10" s="27" t="s">
        <v>140</v>
      </c>
      <c r="C10" s="11"/>
      <c r="D10" s="11"/>
      <c r="E10" s="11"/>
      <c r="F10" s="11"/>
      <c r="G10" s="11"/>
      <c r="H10" s="11"/>
    </row>
    <row r="11" spans="1:8" ht="66" customHeight="1">
      <c r="A11" s="25" t="s">
        <v>141</v>
      </c>
      <c r="B11" s="27" t="s">
        <v>142</v>
      </c>
      <c r="C11" s="11"/>
      <c r="D11" s="11"/>
      <c r="E11" s="11"/>
      <c r="F11" s="11"/>
      <c r="G11" s="11"/>
      <c r="H11" s="11"/>
    </row>
    <row r="12" spans="1:8" ht="66" customHeight="1">
      <c r="A12" s="20" t="s">
        <v>143</v>
      </c>
      <c r="B12" s="22" t="s">
        <v>144</v>
      </c>
      <c r="C12" s="11"/>
      <c r="D12" s="11"/>
      <c r="E12" s="11"/>
      <c r="F12" s="11"/>
      <c r="G12" s="11"/>
      <c r="H12" s="11"/>
    </row>
    <row r="13" spans="1:8" ht="15" customHeight="1">
      <c r="A13" s="11"/>
      <c r="B13" s="11"/>
      <c r="C13" s="11"/>
      <c r="D13" s="11"/>
      <c r="E13" s="11"/>
      <c r="F13" s="11"/>
      <c r="G13" s="11"/>
      <c r="H13" s="11"/>
    </row>
    <row r="14" spans="1:8" ht="15" customHeight="1">
      <c r="A14" s="33" t="s">
        <v>145</v>
      </c>
      <c r="B14" s="33"/>
      <c r="C14" s="33"/>
      <c r="D14" s="33"/>
      <c r="E14" s="33"/>
      <c r="F14" s="33"/>
      <c r="G14" s="33"/>
      <c r="H14" s="33"/>
    </row>
    <row r="15" spans="1:8" ht="15" customHeight="1">
      <c r="A15" s="12" t="s">
        <v>146</v>
      </c>
      <c r="B15" s="12" t="s">
        <v>147</v>
      </c>
      <c r="C15" s="12" t="s">
        <v>148</v>
      </c>
      <c r="D15" s="12" t="s">
        <v>149</v>
      </c>
      <c r="E15" s="12" t="s">
        <v>150</v>
      </c>
      <c r="F15" s="12" t="s">
        <v>151</v>
      </c>
      <c r="G15" s="12" t="s">
        <v>152</v>
      </c>
      <c r="H15" s="12" t="s">
        <v>153</v>
      </c>
    </row>
    <row r="16" spans="1:8" ht="26.4" customHeight="1">
      <c r="A16" s="15">
        <v>1</v>
      </c>
      <c r="B16" s="16" t="s">
        <v>154</v>
      </c>
      <c r="C16" s="16" t="s">
        <v>155</v>
      </c>
      <c r="D16" s="16" t="s">
        <v>156</v>
      </c>
      <c r="E16" s="16"/>
      <c r="F16" s="16" t="s">
        <v>157</v>
      </c>
      <c r="G16" s="16" t="s">
        <v>158</v>
      </c>
      <c r="H16" s="17" t="s">
        <v>159</v>
      </c>
    </row>
    <row r="17" spans="1:8" ht="15" customHeight="1">
      <c r="A17" s="25">
        <v>2</v>
      </c>
      <c r="B17" s="26" t="s">
        <v>160</v>
      </c>
      <c r="C17" s="26" t="s">
        <v>161</v>
      </c>
      <c r="D17" s="26" t="s">
        <v>162</v>
      </c>
      <c r="E17" s="26" t="s">
        <v>163</v>
      </c>
      <c r="F17" s="26" t="s">
        <v>164</v>
      </c>
      <c r="G17" s="26" t="s">
        <v>165</v>
      </c>
      <c r="H17" s="27" t="s">
        <v>166</v>
      </c>
    </row>
    <row r="18" spans="1:8" ht="15" customHeight="1">
      <c r="A18" s="25">
        <v>3</v>
      </c>
      <c r="B18" s="26" t="s">
        <v>167</v>
      </c>
      <c r="C18" s="26" t="s">
        <v>168</v>
      </c>
      <c r="D18" s="26" t="s">
        <v>157</v>
      </c>
      <c r="E18" s="26" t="s">
        <v>169</v>
      </c>
      <c r="F18" s="26" t="s">
        <v>170</v>
      </c>
      <c r="G18" s="26" t="s">
        <v>171</v>
      </c>
      <c r="H18" s="27" t="s">
        <v>172</v>
      </c>
    </row>
    <row r="19" spans="1:8" ht="26.4" customHeight="1">
      <c r="A19" s="25">
        <v>4</v>
      </c>
      <c r="B19" s="26" t="s">
        <v>173</v>
      </c>
      <c r="C19" s="26" t="s">
        <v>174</v>
      </c>
      <c r="D19" s="26" t="s">
        <v>175</v>
      </c>
      <c r="E19" s="26" t="s">
        <v>176</v>
      </c>
      <c r="F19" s="26" t="s">
        <v>177</v>
      </c>
      <c r="G19" s="26" t="s">
        <v>178</v>
      </c>
      <c r="H19" s="27" t="s">
        <v>179</v>
      </c>
    </row>
    <row r="20" spans="1:8" ht="15" customHeight="1">
      <c r="A20" s="25">
        <v>5</v>
      </c>
      <c r="B20" s="26" t="s">
        <v>180</v>
      </c>
      <c r="C20" s="26" t="s">
        <v>181</v>
      </c>
      <c r="D20" s="26" t="s">
        <v>182</v>
      </c>
      <c r="E20" s="26" t="s">
        <v>183</v>
      </c>
      <c r="F20" s="26" t="s">
        <v>184</v>
      </c>
      <c r="G20" s="26" t="s">
        <v>185</v>
      </c>
      <c r="H20" s="27" t="s">
        <v>186</v>
      </c>
    </row>
    <row r="21" spans="1:8" ht="15" customHeight="1">
      <c r="A21" s="25">
        <v>6</v>
      </c>
      <c r="B21" s="26" t="s">
        <v>187</v>
      </c>
      <c r="C21" s="26" t="s">
        <v>188</v>
      </c>
      <c r="D21" s="26" t="s">
        <v>189</v>
      </c>
      <c r="E21" s="26" t="s">
        <v>190</v>
      </c>
      <c r="F21" s="26" t="s">
        <v>191</v>
      </c>
      <c r="G21" s="26" t="s">
        <v>192</v>
      </c>
      <c r="H21" s="27" t="s">
        <v>193</v>
      </c>
    </row>
    <row r="22" spans="1:8" ht="15" customHeight="1">
      <c r="A22" s="25">
        <v>7</v>
      </c>
      <c r="B22" s="26" t="s">
        <v>194</v>
      </c>
      <c r="C22" s="26" t="s">
        <v>195</v>
      </c>
      <c r="D22" s="26" t="s">
        <v>196</v>
      </c>
      <c r="E22" s="26" t="s">
        <v>197</v>
      </c>
      <c r="F22" s="26" t="s">
        <v>198</v>
      </c>
      <c r="G22" s="26" t="s">
        <v>199</v>
      </c>
      <c r="H22" s="27" t="s">
        <v>200</v>
      </c>
    </row>
    <row r="23" spans="1:8" ht="15" customHeight="1">
      <c r="A23" s="25">
        <v>8</v>
      </c>
      <c r="B23" s="26" t="s">
        <v>201</v>
      </c>
      <c r="C23" s="26" t="s">
        <v>202</v>
      </c>
      <c r="D23" s="26" t="s">
        <v>203</v>
      </c>
      <c r="E23" s="26" t="s">
        <v>204</v>
      </c>
      <c r="F23" s="26" t="s">
        <v>205</v>
      </c>
      <c r="G23" s="26" t="s">
        <v>206</v>
      </c>
      <c r="H23" s="27" t="s">
        <v>207</v>
      </c>
    </row>
    <row r="24" spans="1:8" ht="15" customHeight="1">
      <c r="A24" s="25">
        <v>9</v>
      </c>
      <c r="B24" s="26" t="s">
        <v>208</v>
      </c>
      <c r="C24" s="26" t="s">
        <v>209</v>
      </c>
      <c r="D24" s="26" t="s">
        <v>205</v>
      </c>
      <c r="E24" s="26" t="s">
        <v>210</v>
      </c>
      <c r="F24" s="26" t="s">
        <v>211</v>
      </c>
      <c r="G24" s="26" t="s">
        <v>212</v>
      </c>
      <c r="H24" s="27" t="s">
        <v>213</v>
      </c>
    </row>
    <row r="25" spans="1:8" ht="15" customHeight="1">
      <c r="A25" s="25">
        <v>10</v>
      </c>
      <c r="B25" s="26" t="s">
        <v>214</v>
      </c>
      <c r="C25" s="26" t="s">
        <v>215</v>
      </c>
      <c r="D25" s="26" t="s">
        <v>216</v>
      </c>
      <c r="E25" s="26" t="s">
        <v>217</v>
      </c>
      <c r="F25" s="26" t="s">
        <v>218</v>
      </c>
      <c r="G25" s="26" t="s">
        <v>219</v>
      </c>
      <c r="H25" s="27" t="s">
        <v>220</v>
      </c>
    </row>
    <row r="26" spans="1:8" ht="15" customHeight="1">
      <c r="A26" s="25">
        <v>11</v>
      </c>
      <c r="B26" s="26" t="s">
        <v>221</v>
      </c>
      <c r="C26" s="26" t="s">
        <v>222</v>
      </c>
      <c r="D26" s="26" t="s">
        <v>218</v>
      </c>
      <c r="E26" s="26" t="s">
        <v>223</v>
      </c>
      <c r="F26" s="26" t="s">
        <v>224</v>
      </c>
      <c r="G26" s="26" t="s">
        <v>225</v>
      </c>
      <c r="H26" s="27" t="s">
        <v>226</v>
      </c>
    </row>
    <row r="27" spans="1:8" ht="26.4" customHeight="1">
      <c r="A27" s="25">
        <v>12</v>
      </c>
      <c r="B27" s="26" t="s">
        <v>227</v>
      </c>
      <c r="C27" s="26" t="s">
        <v>228</v>
      </c>
      <c r="D27" s="26" t="s">
        <v>229</v>
      </c>
      <c r="E27" s="26" t="s">
        <v>230</v>
      </c>
      <c r="F27" s="26" t="s">
        <v>231</v>
      </c>
      <c r="G27" s="26" t="s">
        <v>232</v>
      </c>
      <c r="H27" s="27" t="s">
        <v>233</v>
      </c>
    </row>
    <row r="28" spans="1:8" ht="15" customHeight="1">
      <c r="A28" s="25">
        <v>13</v>
      </c>
      <c r="B28" s="26" t="s">
        <v>180</v>
      </c>
      <c r="C28" s="26" t="s">
        <v>234</v>
      </c>
      <c r="D28" s="26" t="s">
        <v>235</v>
      </c>
      <c r="E28" s="26" t="s">
        <v>236</v>
      </c>
      <c r="F28" s="26" t="s">
        <v>237</v>
      </c>
      <c r="G28" s="26" t="s">
        <v>238</v>
      </c>
      <c r="H28" s="27" t="s">
        <v>239</v>
      </c>
    </row>
    <row r="29" spans="1:8" ht="26.4" customHeight="1">
      <c r="A29" s="25">
        <v>14</v>
      </c>
      <c r="B29" s="26" t="s">
        <v>240</v>
      </c>
      <c r="C29" s="26" t="s">
        <v>241</v>
      </c>
      <c r="D29" s="26" t="s">
        <v>237</v>
      </c>
      <c r="E29" s="26"/>
      <c r="F29" s="26" t="s">
        <v>242</v>
      </c>
      <c r="G29" s="26" t="s">
        <v>243</v>
      </c>
      <c r="H29" s="27" t="s">
        <v>244</v>
      </c>
    </row>
    <row r="30" spans="1:8" ht="26.4" customHeight="1">
      <c r="A30" s="20">
        <v>15</v>
      </c>
      <c r="B30" s="21" t="s">
        <v>245</v>
      </c>
      <c r="C30" s="21" t="s">
        <v>246</v>
      </c>
      <c r="D30" s="21" t="s">
        <v>233</v>
      </c>
      <c r="E30" s="21"/>
      <c r="F30" s="21" t="s">
        <v>247</v>
      </c>
      <c r="G30" s="21" t="s">
        <v>248</v>
      </c>
      <c r="H30" s="22" t="s">
        <v>249</v>
      </c>
    </row>
    <row r="31" spans="1:8" ht="15" customHeight="1">
      <c r="A31" s="11"/>
      <c r="B31" s="11"/>
      <c r="C31" s="11"/>
      <c r="D31" s="11"/>
      <c r="E31" s="11"/>
      <c r="F31" s="11"/>
      <c r="G31" s="11"/>
      <c r="H31" s="11"/>
    </row>
    <row r="32" spans="1:8" ht="15" customHeight="1">
      <c r="A32" s="33" t="s">
        <v>250</v>
      </c>
      <c r="B32" s="33"/>
      <c r="C32" s="33"/>
      <c r="D32" s="33"/>
      <c r="E32" s="33"/>
      <c r="F32" s="33"/>
      <c r="G32" s="11"/>
      <c r="H32" s="11"/>
    </row>
    <row r="33" spans="1:8" ht="15" customHeight="1">
      <c r="A33" s="12" t="s">
        <v>6</v>
      </c>
      <c r="B33" s="12" t="s">
        <v>251</v>
      </c>
      <c r="C33" s="12" t="s">
        <v>252</v>
      </c>
      <c r="D33" s="12" t="s">
        <v>253</v>
      </c>
      <c r="E33" s="12" t="s">
        <v>254</v>
      </c>
      <c r="F33" s="12" t="s">
        <v>255</v>
      </c>
      <c r="G33" s="11"/>
      <c r="H33" s="11"/>
    </row>
    <row r="34" spans="1:8" ht="15" customHeight="1">
      <c r="A34" s="15" t="s">
        <v>256</v>
      </c>
      <c r="B34" s="16" t="s">
        <v>257</v>
      </c>
      <c r="C34" s="16" t="s">
        <v>258</v>
      </c>
      <c r="D34" s="16" t="s">
        <v>259</v>
      </c>
      <c r="E34" s="16" t="s">
        <v>260</v>
      </c>
      <c r="F34" s="17" t="s">
        <v>261</v>
      </c>
      <c r="G34" s="11"/>
      <c r="H34" s="11"/>
    </row>
    <row r="35" spans="1:8" ht="26.4" customHeight="1">
      <c r="A35" s="25" t="s">
        <v>262</v>
      </c>
      <c r="B35" s="26" t="s">
        <v>257</v>
      </c>
      <c r="C35" s="26" t="s">
        <v>263</v>
      </c>
      <c r="D35" s="26" t="s">
        <v>264</v>
      </c>
      <c r="E35" s="26" t="s">
        <v>265</v>
      </c>
      <c r="F35" s="27" t="s">
        <v>266</v>
      </c>
      <c r="G35" s="11"/>
      <c r="H35" s="11"/>
    </row>
    <row r="36" spans="1:8" ht="15" customHeight="1">
      <c r="A36" s="25" t="s">
        <v>267</v>
      </c>
      <c r="B36" s="26" t="s">
        <v>257</v>
      </c>
      <c r="C36" s="26" t="s">
        <v>268</v>
      </c>
      <c r="D36" s="26" t="s">
        <v>269</v>
      </c>
      <c r="E36" s="26" t="s">
        <v>270</v>
      </c>
      <c r="F36" s="27"/>
      <c r="G36" s="11"/>
      <c r="H36" s="11"/>
    </row>
    <row r="37" spans="1:8" ht="15" customHeight="1">
      <c r="A37" s="25" t="s">
        <v>271</v>
      </c>
      <c r="B37" s="26" t="s">
        <v>257</v>
      </c>
      <c r="C37" s="26" t="s">
        <v>272</v>
      </c>
      <c r="D37" s="26" t="s">
        <v>269</v>
      </c>
      <c r="E37" s="26" t="s">
        <v>273</v>
      </c>
      <c r="F37" s="27"/>
      <c r="G37" s="11"/>
      <c r="H37" s="11"/>
    </row>
    <row r="38" spans="1:8" ht="15" customHeight="1">
      <c r="A38" s="25" t="s">
        <v>274</v>
      </c>
      <c r="B38" s="26" t="s">
        <v>257</v>
      </c>
      <c r="C38" s="26" t="s">
        <v>275</v>
      </c>
      <c r="D38" s="26" t="s">
        <v>276</v>
      </c>
      <c r="E38" s="26" t="s">
        <v>277</v>
      </c>
      <c r="F38" s="27"/>
      <c r="G38" s="11"/>
      <c r="H38" s="11"/>
    </row>
    <row r="39" spans="1:8" ht="26.4" customHeight="1">
      <c r="A39" s="25" t="s">
        <v>278</v>
      </c>
      <c r="B39" s="26" t="s">
        <v>257</v>
      </c>
      <c r="C39" s="26" t="s">
        <v>279</v>
      </c>
      <c r="D39" s="26" t="s">
        <v>280</v>
      </c>
      <c r="E39" s="26" t="s">
        <v>281</v>
      </c>
      <c r="F39" s="27" t="s">
        <v>282</v>
      </c>
      <c r="G39" s="11"/>
      <c r="H39" s="11"/>
    </row>
    <row r="40" spans="1:8" ht="15" customHeight="1">
      <c r="A40" s="25" t="s">
        <v>283</v>
      </c>
      <c r="B40" s="26" t="s">
        <v>257</v>
      </c>
      <c r="C40" s="26" t="s">
        <v>284</v>
      </c>
      <c r="D40" s="26" t="s">
        <v>259</v>
      </c>
      <c r="E40" s="26" t="s">
        <v>285</v>
      </c>
      <c r="F40" s="27"/>
      <c r="G40" s="11"/>
      <c r="H40" s="11"/>
    </row>
    <row r="41" spans="1:8" ht="15" customHeight="1">
      <c r="A41" s="25" t="s">
        <v>286</v>
      </c>
      <c r="B41" s="26" t="s">
        <v>257</v>
      </c>
      <c r="C41" s="26" t="s">
        <v>287</v>
      </c>
      <c r="D41" s="26" t="s">
        <v>269</v>
      </c>
      <c r="E41" s="26" t="s">
        <v>288</v>
      </c>
      <c r="F41" s="27"/>
      <c r="G41" s="11"/>
      <c r="H41" s="11"/>
    </row>
    <row r="42" spans="1:8" ht="15" customHeight="1">
      <c r="A42" s="25" t="s">
        <v>289</v>
      </c>
      <c r="B42" s="26" t="s">
        <v>257</v>
      </c>
      <c r="C42" s="26" t="s">
        <v>290</v>
      </c>
      <c r="D42" s="26" t="s">
        <v>259</v>
      </c>
      <c r="E42" s="26" t="s">
        <v>291</v>
      </c>
      <c r="F42" s="27"/>
      <c r="G42" s="11"/>
      <c r="H42" s="11"/>
    </row>
    <row r="43" spans="1:8" ht="15" customHeight="1">
      <c r="A43" s="25" t="s">
        <v>292</v>
      </c>
      <c r="B43" s="26" t="s">
        <v>257</v>
      </c>
      <c r="C43" s="26" t="s">
        <v>293</v>
      </c>
      <c r="D43" s="26" t="s">
        <v>269</v>
      </c>
      <c r="E43" s="26" t="s">
        <v>294</v>
      </c>
      <c r="F43" s="27"/>
      <c r="G43" s="11"/>
      <c r="H43" s="11"/>
    </row>
    <row r="44" spans="1:8" ht="26.4" customHeight="1">
      <c r="A44" s="25" t="s">
        <v>295</v>
      </c>
      <c r="B44" s="26" t="s">
        <v>257</v>
      </c>
      <c r="C44" s="26" t="s">
        <v>296</v>
      </c>
      <c r="D44" s="26" t="s">
        <v>297</v>
      </c>
      <c r="E44" s="26" t="s">
        <v>298</v>
      </c>
      <c r="F44" s="27"/>
      <c r="G44" s="11"/>
      <c r="H44" s="11"/>
    </row>
    <row r="45" spans="1:8" ht="15" customHeight="1">
      <c r="A45" s="20" t="s">
        <v>299</v>
      </c>
      <c r="B45" s="21" t="s">
        <v>257</v>
      </c>
      <c r="C45" s="21" t="s">
        <v>300</v>
      </c>
      <c r="D45" s="21" t="s">
        <v>301</v>
      </c>
      <c r="E45" s="21" t="s">
        <v>302</v>
      </c>
      <c r="F45" s="22"/>
      <c r="G45" s="11"/>
      <c r="H45" s="11"/>
    </row>
    <row r="46" spans="1:8" ht="15" customHeight="1">
      <c r="A46" s="11"/>
      <c r="B46" s="11"/>
      <c r="C46" s="11"/>
      <c r="D46" s="11"/>
      <c r="E46" s="11"/>
      <c r="F46" s="11"/>
      <c r="G46" s="11"/>
      <c r="H46" s="11"/>
    </row>
    <row r="47" spans="1:8" ht="15" customHeight="1">
      <c r="A47" s="33" t="s">
        <v>303</v>
      </c>
      <c r="B47" s="33"/>
      <c r="C47" s="33"/>
      <c r="D47" s="33"/>
      <c r="E47" s="33"/>
      <c r="F47" s="33"/>
      <c r="G47" s="11"/>
      <c r="H47" s="11"/>
    </row>
    <row r="48" spans="1:8" ht="15" customHeight="1">
      <c r="A48" s="12" t="s">
        <v>304</v>
      </c>
      <c r="B48" s="12" t="s">
        <v>305</v>
      </c>
      <c r="C48" s="12" t="s">
        <v>306</v>
      </c>
      <c r="D48" s="12" t="s">
        <v>307</v>
      </c>
      <c r="E48" s="12" t="s">
        <v>308</v>
      </c>
      <c r="F48" s="12" t="s">
        <v>309</v>
      </c>
      <c r="G48" s="11"/>
      <c r="H48" s="11"/>
    </row>
    <row r="49" spans="1:8" ht="52.65" customHeight="1">
      <c r="A49" s="15" t="s">
        <v>310</v>
      </c>
      <c r="B49" s="16" t="s">
        <v>311</v>
      </c>
      <c r="C49" s="16" t="s">
        <v>312</v>
      </c>
      <c r="D49" s="16" t="s">
        <v>313</v>
      </c>
      <c r="E49" s="16" t="s">
        <v>314</v>
      </c>
      <c r="F49" s="17" t="s">
        <v>315</v>
      </c>
      <c r="G49" s="11"/>
      <c r="H49" s="11"/>
    </row>
    <row r="50" spans="1:8" ht="52.65" customHeight="1">
      <c r="A50" s="25" t="s">
        <v>316</v>
      </c>
      <c r="B50" s="26" t="s">
        <v>317</v>
      </c>
      <c r="C50" s="26" t="s">
        <v>60</v>
      </c>
      <c r="D50" s="26" t="s">
        <v>198</v>
      </c>
      <c r="E50" s="26" t="s">
        <v>314</v>
      </c>
      <c r="F50" s="27" t="s">
        <v>318</v>
      </c>
      <c r="G50" s="11"/>
      <c r="H50" s="11"/>
    </row>
    <row r="51" spans="1:8" ht="39.6" customHeight="1">
      <c r="A51" s="25" t="s">
        <v>319</v>
      </c>
      <c r="B51" s="26" t="s">
        <v>320</v>
      </c>
      <c r="C51" s="26" t="s">
        <v>60</v>
      </c>
      <c r="D51" s="26" t="s">
        <v>321</v>
      </c>
      <c r="E51" s="26" t="s">
        <v>314</v>
      </c>
      <c r="F51" s="27" t="s">
        <v>322</v>
      </c>
      <c r="G51" s="11"/>
      <c r="H51" s="11"/>
    </row>
    <row r="52" spans="1:8" ht="39.6" customHeight="1">
      <c r="A52" s="25" t="s">
        <v>323</v>
      </c>
      <c r="B52" s="26" t="s">
        <v>324</v>
      </c>
      <c r="C52" s="26" t="s">
        <v>60</v>
      </c>
      <c r="D52" s="26" t="s">
        <v>325</v>
      </c>
      <c r="E52" s="26" t="s">
        <v>314</v>
      </c>
      <c r="F52" s="27" t="s">
        <v>326</v>
      </c>
      <c r="G52" s="11"/>
      <c r="H52" s="11"/>
    </row>
    <row r="53" spans="1:8" ht="52.65" customHeight="1">
      <c r="A53" s="25" t="s">
        <v>327</v>
      </c>
      <c r="B53" s="26" t="s">
        <v>328</v>
      </c>
      <c r="C53" s="26" t="s">
        <v>329</v>
      </c>
      <c r="D53" s="26" t="s">
        <v>330</v>
      </c>
      <c r="E53" s="26" t="s">
        <v>314</v>
      </c>
      <c r="F53" s="27" t="s">
        <v>331</v>
      </c>
      <c r="G53" s="11"/>
      <c r="H53" s="11"/>
    </row>
    <row r="54" spans="1:8" ht="26.4" customHeight="1">
      <c r="A54" s="20" t="s">
        <v>332</v>
      </c>
      <c r="B54" s="21" t="s">
        <v>333</v>
      </c>
      <c r="C54" s="21" t="s">
        <v>60</v>
      </c>
      <c r="D54" s="21" t="s">
        <v>334</v>
      </c>
      <c r="E54" s="21" t="s">
        <v>314</v>
      </c>
      <c r="F54" s="22" t="s">
        <v>335</v>
      </c>
      <c r="G54" s="11"/>
      <c r="H54" s="11"/>
    </row>
  </sheetData>
  <mergeCells count="4">
    <mergeCell ref="A1:H2"/>
    <mergeCell ref="A14:H14"/>
    <mergeCell ref="A32:F32"/>
    <mergeCell ref="A47:F4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zoomScale="75" zoomScaleNormal="75" workbookViewId="0">
      <selection activeCell="F7" sqref="F7"/>
    </sheetView>
  </sheetViews>
  <sheetFormatPr defaultRowHeight="13.8"/>
  <cols>
    <col min="1" max="1" width="7" customWidth="1"/>
    <col min="2" max="2" width="22" customWidth="1"/>
    <col min="3" max="3" width="40" customWidth="1"/>
    <col min="4" max="4" width="24" customWidth="1"/>
    <col min="5" max="5" width="32" customWidth="1"/>
    <col min="6" max="6" width="28" customWidth="1"/>
    <col min="7" max="7" width="30" customWidth="1"/>
    <col min="8" max="8" width="32" customWidth="1"/>
  </cols>
  <sheetData>
    <row r="1" spans="1:8">
      <c r="A1" s="31" t="s">
        <v>336</v>
      </c>
      <c r="B1" s="31"/>
      <c r="C1" s="31"/>
      <c r="D1" s="31"/>
      <c r="E1" s="31"/>
      <c r="F1" s="31"/>
      <c r="G1" s="31"/>
      <c r="H1" s="31"/>
    </row>
    <row r="2" spans="1:8">
      <c r="A2" s="31"/>
      <c r="B2" s="31"/>
      <c r="C2" s="31"/>
      <c r="D2" s="31"/>
      <c r="E2" s="31"/>
      <c r="F2" s="31"/>
      <c r="G2" s="31"/>
      <c r="H2" s="31"/>
    </row>
    <row r="3" spans="1:8">
      <c r="A3" s="11"/>
      <c r="B3" s="11"/>
      <c r="C3" s="11"/>
      <c r="D3" s="11"/>
      <c r="E3" s="11"/>
      <c r="F3" s="11"/>
      <c r="G3" s="11"/>
      <c r="H3" s="11"/>
    </row>
    <row r="4" spans="1:8" ht="26.4" customHeight="1">
      <c r="A4" s="12" t="s">
        <v>128</v>
      </c>
      <c r="B4" s="12" t="s">
        <v>129</v>
      </c>
      <c r="C4" s="11"/>
      <c r="D4" s="11"/>
      <c r="E4" s="11"/>
      <c r="F4" s="11"/>
      <c r="G4" s="11"/>
      <c r="H4" s="11"/>
    </row>
    <row r="5" spans="1:8" ht="26.4" customHeight="1">
      <c r="A5" s="15" t="s">
        <v>7</v>
      </c>
      <c r="B5" s="17" t="s">
        <v>337</v>
      </c>
      <c r="C5" s="11"/>
      <c r="D5" s="11"/>
      <c r="E5" s="11"/>
      <c r="F5" s="11"/>
      <c r="G5" s="11"/>
      <c r="H5" s="11"/>
    </row>
    <row r="6" spans="1:8" ht="79.2" customHeight="1">
      <c r="A6" s="25" t="s">
        <v>131</v>
      </c>
      <c r="B6" s="27" t="s">
        <v>338</v>
      </c>
      <c r="C6" s="11"/>
      <c r="D6" s="11"/>
      <c r="E6" s="11"/>
      <c r="F6" s="11"/>
      <c r="G6" s="11"/>
      <c r="H6" s="11"/>
    </row>
    <row r="7" spans="1:8" ht="39.6" customHeight="1">
      <c r="A7" s="25" t="s">
        <v>133</v>
      </c>
      <c r="B7" s="27" t="s">
        <v>339</v>
      </c>
      <c r="C7" s="11"/>
      <c r="D7" s="11"/>
      <c r="E7" s="11"/>
      <c r="F7" s="11"/>
      <c r="G7" s="11"/>
      <c r="H7" s="11"/>
    </row>
    <row r="8" spans="1:8" ht="52.65" customHeight="1">
      <c r="A8" s="25" t="s">
        <v>135</v>
      </c>
      <c r="B8" s="27" t="s">
        <v>340</v>
      </c>
      <c r="C8" s="11"/>
      <c r="D8" s="11"/>
      <c r="E8" s="11"/>
      <c r="F8" s="11"/>
      <c r="G8" s="11"/>
      <c r="H8" s="11"/>
    </row>
    <row r="9" spans="1:8" ht="66" customHeight="1">
      <c r="A9" s="25" t="s">
        <v>137</v>
      </c>
      <c r="B9" s="27" t="s">
        <v>341</v>
      </c>
      <c r="C9" s="11"/>
      <c r="D9" s="11"/>
      <c r="E9" s="11"/>
      <c r="F9" s="11"/>
      <c r="G9" s="11"/>
      <c r="H9" s="11"/>
    </row>
    <row r="10" spans="1:8" ht="92.4" customHeight="1">
      <c r="A10" s="25" t="s">
        <v>139</v>
      </c>
      <c r="B10" s="27" t="s">
        <v>342</v>
      </c>
      <c r="C10" s="11"/>
      <c r="D10" s="11"/>
      <c r="E10" s="11"/>
      <c r="F10" s="11"/>
      <c r="G10" s="11"/>
      <c r="H10" s="11"/>
    </row>
    <row r="11" spans="1:8" ht="52.65" customHeight="1">
      <c r="A11" s="25" t="s">
        <v>141</v>
      </c>
      <c r="B11" s="27" t="s">
        <v>343</v>
      </c>
      <c r="C11" s="11"/>
      <c r="D11" s="11"/>
      <c r="E11" s="11"/>
      <c r="F11" s="11"/>
      <c r="G11" s="11"/>
      <c r="H11" s="11"/>
    </row>
    <row r="12" spans="1:8" ht="66" customHeight="1">
      <c r="A12" s="20" t="s">
        <v>143</v>
      </c>
      <c r="B12" s="22" t="s">
        <v>344</v>
      </c>
      <c r="C12" s="11"/>
      <c r="D12" s="11"/>
      <c r="E12" s="11"/>
      <c r="F12" s="11"/>
      <c r="G12" s="11"/>
      <c r="H12" s="11"/>
    </row>
    <row r="13" spans="1:8" ht="15" customHeight="1">
      <c r="A13" s="11"/>
      <c r="B13" s="11"/>
      <c r="C13" s="11"/>
      <c r="D13" s="11"/>
      <c r="E13" s="11"/>
      <c r="F13" s="11"/>
      <c r="G13" s="11"/>
      <c r="H13" s="11"/>
    </row>
    <row r="14" spans="1:8" ht="15" customHeight="1">
      <c r="A14" s="33" t="s">
        <v>145</v>
      </c>
      <c r="B14" s="33"/>
      <c r="C14" s="33"/>
      <c r="D14" s="33"/>
      <c r="E14" s="33"/>
      <c r="F14" s="33"/>
      <c r="G14" s="33"/>
      <c r="H14" s="33"/>
    </row>
    <row r="15" spans="1:8" ht="15" customHeight="1">
      <c r="A15" s="12" t="s">
        <v>146</v>
      </c>
      <c r="B15" s="12" t="s">
        <v>147</v>
      </c>
      <c r="C15" s="12" t="s">
        <v>148</v>
      </c>
      <c r="D15" s="12" t="s">
        <v>149</v>
      </c>
      <c r="E15" s="12" t="s">
        <v>150</v>
      </c>
      <c r="F15" s="12" t="s">
        <v>151</v>
      </c>
      <c r="G15" s="12" t="s">
        <v>152</v>
      </c>
      <c r="H15" s="12" t="s">
        <v>153</v>
      </c>
    </row>
    <row r="16" spans="1:8" ht="26.4" customHeight="1">
      <c r="A16" s="15">
        <v>1</v>
      </c>
      <c r="B16" s="16" t="s">
        <v>345</v>
      </c>
      <c r="C16" s="16" t="s">
        <v>346</v>
      </c>
      <c r="D16" s="16" t="s">
        <v>347</v>
      </c>
      <c r="E16" s="16"/>
      <c r="F16" s="16" t="s">
        <v>348</v>
      </c>
      <c r="G16" s="16" t="s">
        <v>349</v>
      </c>
      <c r="H16" s="17" t="s">
        <v>350</v>
      </c>
    </row>
    <row r="17" spans="1:8" ht="15" customHeight="1">
      <c r="A17" s="25">
        <v>2</v>
      </c>
      <c r="B17" s="26" t="s">
        <v>351</v>
      </c>
      <c r="C17" s="26" t="s">
        <v>352</v>
      </c>
      <c r="D17" s="26" t="s">
        <v>348</v>
      </c>
      <c r="E17" s="26" t="s">
        <v>353</v>
      </c>
      <c r="F17" s="26" t="s">
        <v>354</v>
      </c>
      <c r="G17" s="26" t="s">
        <v>355</v>
      </c>
      <c r="H17" s="27" t="s">
        <v>356</v>
      </c>
    </row>
    <row r="18" spans="1:8" ht="15" customHeight="1">
      <c r="A18" s="25">
        <v>3</v>
      </c>
      <c r="B18" s="26" t="s">
        <v>357</v>
      </c>
      <c r="C18" s="26" t="s">
        <v>358</v>
      </c>
      <c r="D18" s="26" t="s">
        <v>359</v>
      </c>
      <c r="E18" s="26" t="s">
        <v>360</v>
      </c>
      <c r="F18" s="26" t="s">
        <v>361</v>
      </c>
      <c r="G18" s="26" t="s">
        <v>362</v>
      </c>
      <c r="H18" s="27" t="s">
        <v>363</v>
      </c>
    </row>
    <row r="19" spans="1:8" ht="15" customHeight="1">
      <c r="A19" s="25">
        <v>4</v>
      </c>
      <c r="B19" s="26" t="s">
        <v>357</v>
      </c>
      <c r="C19" s="26" t="s">
        <v>364</v>
      </c>
      <c r="D19" s="26" t="s">
        <v>361</v>
      </c>
      <c r="E19" s="26" t="s">
        <v>365</v>
      </c>
      <c r="F19" s="26" t="s">
        <v>366</v>
      </c>
      <c r="G19" s="26" t="s">
        <v>367</v>
      </c>
      <c r="H19" s="27" t="s">
        <v>368</v>
      </c>
    </row>
    <row r="20" spans="1:8" ht="15" customHeight="1">
      <c r="A20" s="25">
        <v>5</v>
      </c>
      <c r="B20" s="26" t="s">
        <v>369</v>
      </c>
      <c r="C20" s="26" t="s">
        <v>370</v>
      </c>
      <c r="D20" s="26" t="s">
        <v>371</v>
      </c>
      <c r="E20" s="26" t="s">
        <v>372</v>
      </c>
      <c r="F20" s="26" t="s">
        <v>373</v>
      </c>
      <c r="G20" s="26" t="s">
        <v>374</v>
      </c>
      <c r="H20" s="27" t="s">
        <v>375</v>
      </c>
    </row>
    <row r="21" spans="1:8" ht="15" customHeight="1">
      <c r="A21" s="25">
        <v>6</v>
      </c>
      <c r="B21" s="26" t="s">
        <v>376</v>
      </c>
      <c r="C21" s="26" t="s">
        <v>377</v>
      </c>
      <c r="D21" s="26" t="s">
        <v>378</v>
      </c>
      <c r="E21" s="26" t="s">
        <v>379</v>
      </c>
      <c r="F21" s="26" t="s">
        <v>380</v>
      </c>
      <c r="G21" s="26" t="s">
        <v>381</v>
      </c>
      <c r="H21" s="27" t="s">
        <v>382</v>
      </c>
    </row>
    <row r="22" spans="1:8" ht="15" customHeight="1">
      <c r="A22" s="25">
        <v>7</v>
      </c>
      <c r="B22" s="26" t="s">
        <v>383</v>
      </c>
      <c r="C22" s="26" t="s">
        <v>384</v>
      </c>
      <c r="D22" s="26" t="s">
        <v>380</v>
      </c>
      <c r="E22" s="26" t="s">
        <v>385</v>
      </c>
      <c r="F22" s="26" t="s">
        <v>386</v>
      </c>
      <c r="G22" s="26" t="s">
        <v>387</v>
      </c>
      <c r="H22" s="27" t="s">
        <v>388</v>
      </c>
    </row>
    <row r="23" spans="1:8" ht="15" customHeight="1">
      <c r="A23" s="25">
        <v>8</v>
      </c>
      <c r="B23" s="26" t="s">
        <v>389</v>
      </c>
      <c r="C23" s="26" t="s">
        <v>390</v>
      </c>
      <c r="D23" s="26" t="s">
        <v>386</v>
      </c>
      <c r="E23" s="26" t="s">
        <v>391</v>
      </c>
      <c r="F23" s="26" t="s">
        <v>392</v>
      </c>
      <c r="G23" s="26" t="s">
        <v>393</v>
      </c>
      <c r="H23" s="27" t="s">
        <v>394</v>
      </c>
    </row>
    <row r="24" spans="1:8" ht="15" customHeight="1">
      <c r="A24" s="25">
        <v>9</v>
      </c>
      <c r="B24" s="26" t="s">
        <v>395</v>
      </c>
      <c r="C24" s="26" t="s">
        <v>396</v>
      </c>
      <c r="D24" s="26" t="s">
        <v>392</v>
      </c>
      <c r="E24" s="26" t="s">
        <v>397</v>
      </c>
      <c r="F24" s="26" t="s">
        <v>398</v>
      </c>
      <c r="G24" s="26" t="s">
        <v>399</v>
      </c>
      <c r="H24" s="27" t="s">
        <v>400</v>
      </c>
    </row>
    <row r="25" spans="1:8" ht="15" customHeight="1">
      <c r="A25" s="25">
        <v>10</v>
      </c>
      <c r="B25" s="26" t="s">
        <v>401</v>
      </c>
      <c r="C25" s="26" t="s">
        <v>402</v>
      </c>
      <c r="D25" s="26" t="s">
        <v>398</v>
      </c>
      <c r="E25" s="26" t="s">
        <v>403</v>
      </c>
      <c r="F25" s="26" t="s">
        <v>404</v>
      </c>
      <c r="G25" s="26" t="s">
        <v>405</v>
      </c>
      <c r="H25" s="27" t="s">
        <v>406</v>
      </c>
    </row>
    <row r="26" spans="1:8" ht="15" customHeight="1">
      <c r="A26" s="25">
        <v>11</v>
      </c>
      <c r="B26" s="26" t="s">
        <v>407</v>
      </c>
      <c r="C26" s="26" t="s">
        <v>408</v>
      </c>
      <c r="D26" s="26" t="s">
        <v>404</v>
      </c>
      <c r="E26" s="26" t="s">
        <v>409</v>
      </c>
      <c r="F26" s="26" t="s">
        <v>410</v>
      </c>
      <c r="G26" s="26" t="s">
        <v>411</v>
      </c>
      <c r="H26" s="27" t="s">
        <v>410</v>
      </c>
    </row>
    <row r="27" spans="1:8" ht="15" customHeight="1">
      <c r="A27" s="25">
        <v>12</v>
      </c>
      <c r="B27" s="26" t="s">
        <v>412</v>
      </c>
      <c r="C27" s="26" t="s">
        <v>413</v>
      </c>
      <c r="D27" s="26" t="s">
        <v>414</v>
      </c>
      <c r="E27" s="26" t="s">
        <v>415</v>
      </c>
      <c r="F27" s="26" t="s">
        <v>416</v>
      </c>
      <c r="G27" s="26" t="s">
        <v>417</v>
      </c>
      <c r="H27" s="27" t="s">
        <v>418</v>
      </c>
    </row>
    <row r="28" spans="1:8" ht="15" customHeight="1">
      <c r="A28" s="25">
        <v>13</v>
      </c>
      <c r="B28" s="26" t="s">
        <v>369</v>
      </c>
      <c r="C28" s="26" t="s">
        <v>419</v>
      </c>
      <c r="D28" s="26" t="s">
        <v>416</v>
      </c>
      <c r="E28" s="26" t="s">
        <v>420</v>
      </c>
      <c r="F28" s="26" t="s">
        <v>421</v>
      </c>
      <c r="G28" s="26" t="s">
        <v>422</v>
      </c>
      <c r="H28" s="27" t="s">
        <v>423</v>
      </c>
    </row>
    <row r="29" spans="1:8" ht="15" customHeight="1">
      <c r="A29" s="25">
        <v>14</v>
      </c>
      <c r="B29" s="26" t="s">
        <v>357</v>
      </c>
      <c r="C29" s="26" t="s">
        <v>424</v>
      </c>
      <c r="D29" s="26" t="s">
        <v>421</v>
      </c>
      <c r="E29" s="26"/>
      <c r="F29" s="26" t="s">
        <v>425</v>
      </c>
      <c r="G29" s="26" t="s">
        <v>426</v>
      </c>
      <c r="H29" s="27" t="s">
        <v>427</v>
      </c>
    </row>
    <row r="30" spans="1:8" ht="15" customHeight="1">
      <c r="A30" s="25">
        <v>15</v>
      </c>
      <c r="B30" s="26" t="s">
        <v>428</v>
      </c>
      <c r="C30" s="26" t="s">
        <v>429</v>
      </c>
      <c r="D30" s="26" t="s">
        <v>425</v>
      </c>
      <c r="E30" s="26" t="s">
        <v>430</v>
      </c>
      <c r="F30" s="26" t="s">
        <v>431</v>
      </c>
      <c r="G30" s="26" t="s">
        <v>432</v>
      </c>
      <c r="H30" s="27" t="s">
        <v>433</v>
      </c>
    </row>
    <row r="31" spans="1:8" ht="15" customHeight="1">
      <c r="A31" s="25">
        <v>16</v>
      </c>
      <c r="B31" s="26" t="s">
        <v>357</v>
      </c>
      <c r="C31" s="26" t="s">
        <v>434</v>
      </c>
      <c r="D31" s="26" t="s">
        <v>431</v>
      </c>
      <c r="E31" s="26" t="s">
        <v>435</v>
      </c>
      <c r="F31" s="26" t="s">
        <v>436</v>
      </c>
      <c r="G31" s="26" t="s">
        <v>437</v>
      </c>
      <c r="H31" s="27" t="s">
        <v>438</v>
      </c>
    </row>
    <row r="32" spans="1:8" ht="15" customHeight="1">
      <c r="A32" s="25">
        <v>17</v>
      </c>
      <c r="B32" s="26" t="s">
        <v>439</v>
      </c>
      <c r="C32" s="26" t="s">
        <v>440</v>
      </c>
      <c r="D32" s="26" t="s">
        <v>441</v>
      </c>
      <c r="E32" s="26" t="s">
        <v>442</v>
      </c>
      <c r="F32" s="26" t="s">
        <v>443</v>
      </c>
      <c r="G32" s="26" t="s">
        <v>444</v>
      </c>
      <c r="H32" s="27" t="s">
        <v>445</v>
      </c>
    </row>
    <row r="33" spans="1:8" ht="15" customHeight="1">
      <c r="A33" s="20">
        <v>18</v>
      </c>
      <c r="B33" s="21" t="s">
        <v>446</v>
      </c>
      <c r="C33" s="21" t="s">
        <v>447</v>
      </c>
      <c r="D33" s="21" t="s">
        <v>443</v>
      </c>
      <c r="E33" s="21" t="s">
        <v>448</v>
      </c>
      <c r="F33" s="21" t="s">
        <v>449</v>
      </c>
      <c r="G33" s="21" t="s">
        <v>450</v>
      </c>
      <c r="H33" s="22" t="s">
        <v>451</v>
      </c>
    </row>
    <row r="34" spans="1:8" ht="15" customHeight="1">
      <c r="A34" s="11"/>
      <c r="B34" s="11"/>
      <c r="C34" s="11"/>
      <c r="D34" s="11"/>
      <c r="E34" s="11"/>
      <c r="F34" s="11"/>
      <c r="G34" s="11"/>
      <c r="H34" s="11"/>
    </row>
    <row r="35" spans="1:8" ht="15" customHeight="1">
      <c r="A35" s="33" t="s">
        <v>250</v>
      </c>
      <c r="B35" s="33"/>
      <c r="C35" s="33"/>
      <c r="D35" s="33"/>
      <c r="E35" s="33"/>
      <c r="F35" s="33"/>
      <c r="G35" s="11"/>
      <c r="H35" s="11"/>
    </row>
    <row r="36" spans="1:8" ht="15" customHeight="1">
      <c r="A36" s="12" t="s">
        <v>6</v>
      </c>
      <c r="B36" s="12" t="s">
        <v>251</v>
      </c>
      <c r="C36" s="12" t="s">
        <v>252</v>
      </c>
      <c r="D36" s="12" t="s">
        <v>253</v>
      </c>
      <c r="E36" s="12" t="s">
        <v>254</v>
      </c>
      <c r="F36" s="12" t="s">
        <v>255</v>
      </c>
      <c r="G36" s="11"/>
      <c r="H36" s="11"/>
    </row>
    <row r="37" spans="1:8" ht="15" customHeight="1">
      <c r="A37" s="15" t="s">
        <v>256</v>
      </c>
      <c r="B37" s="16" t="s">
        <v>257</v>
      </c>
      <c r="C37" s="16" t="s">
        <v>452</v>
      </c>
      <c r="D37" s="16" t="s">
        <v>269</v>
      </c>
      <c r="E37" s="16" t="s">
        <v>453</v>
      </c>
      <c r="F37" s="17"/>
      <c r="G37" s="11"/>
      <c r="H37" s="11"/>
    </row>
    <row r="38" spans="1:8" ht="15" customHeight="1">
      <c r="A38" s="25" t="s">
        <v>262</v>
      </c>
      <c r="B38" s="26" t="s">
        <v>257</v>
      </c>
      <c r="C38" s="26" t="s">
        <v>454</v>
      </c>
      <c r="D38" s="26" t="s">
        <v>455</v>
      </c>
      <c r="E38" s="26" t="s">
        <v>456</v>
      </c>
      <c r="F38" s="27"/>
      <c r="G38" s="11"/>
      <c r="H38" s="11"/>
    </row>
    <row r="39" spans="1:8" ht="15" customHeight="1">
      <c r="A39" s="25" t="s">
        <v>267</v>
      </c>
      <c r="B39" s="26" t="s">
        <v>257</v>
      </c>
      <c r="C39" s="26" t="s">
        <v>457</v>
      </c>
      <c r="D39" s="26" t="s">
        <v>269</v>
      </c>
      <c r="E39" s="26" t="s">
        <v>458</v>
      </c>
      <c r="F39" s="27" t="s">
        <v>459</v>
      </c>
      <c r="G39" s="11"/>
      <c r="H39" s="11"/>
    </row>
    <row r="40" spans="1:8" ht="15" customHeight="1">
      <c r="A40" s="25" t="s">
        <v>271</v>
      </c>
      <c r="B40" s="26" t="s">
        <v>257</v>
      </c>
      <c r="C40" s="26" t="s">
        <v>460</v>
      </c>
      <c r="D40" s="26" t="s">
        <v>461</v>
      </c>
      <c r="E40" s="26" t="s">
        <v>462</v>
      </c>
      <c r="F40" s="27"/>
      <c r="G40" s="11"/>
      <c r="H40" s="11"/>
    </row>
    <row r="41" spans="1:8" ht="15" customHeight="1">
      <c r="A41" s="25" t="s">
        <v>274</v>
      </c>
      <c r="B41" s="26" t="s">
        <v>257</v>
      </c>
      <c r="C41" s="26" t="s">
        <v>463</v>
      </c>
      <c r="D41" s="26" t="s">
        <v>269</v>
      </c>
      <c r="E41" s="26" t="s">
        <v>464</v>
      </c>
      <c r="F41" s="27"/>
      <c r="G41" s="11"/>
      <c r="H41" s="11"/>
    </row>
    <row r="42" spans="1:8" ht="26.4" customHeight="1">
      <c r="A42" s="25" t="s">
        <v>278</v>
      </c>
      <c r="B42" s="26" t="s">
        <v>257</v>
      </c>
      <c r="C42" s="26" t="s">
        <v>465</v>
      </c>
      <c r="D42" s="26" t="s">
        <v>466</v>
      </c>
      <c r="E42" s="26" t="s">
        <v>467</v>
      </c>
      <c r="F42" s="27" t="s">
        <v>468</v>
      </c>
      <c r="G42" s="11"/>
      <c r="H42" s="11"/>
    </row>
    <row r="43" spans="1:8" ht="15" customHeight="1">
      <c r="A43" s="25" t="s">
        <v>283</v>
      </c>
      <c r="B43" s="26" t="s">
        <v>257</v>
      </c>
      <c r="C43" s="26" t="s">
        <v>469</v>
      </c>
      <c r="D43" s="26" t="s">
        <v>259</v>
      </c>
      <c r="E43" s="26" t="s">
        <v>470</v>
      </c>
      <c r="F43" s="27"/>
      <c r="G43" s="11"/>
      <c r="H43" s="11"/>
    </row>
    <row r="44" spans="1:8" ht="15" customHeight="1">
      <c r="A44" s="25" t="s">
        <v>286</v>
      </c>
      <c r="B44" s="26" t="s">
        <v>257</v>
      </c>
      <c r="C44" s="26" t="s">
        <v>471</v>
      </c>
      <c r="D44" s="26" t="s">
        <v>472</v>
      </c>
      <c r="E44" s="26" t="s">
        <v>473</v>
      </c>
      <c r="F44" s="27"/>
      <c r="G44" s="11"/>
      <c r="H44" s="11"/>
    </row>
    <row r="45" spans="1:8" ht="15" customHeight="1">
      <c r="A45" s="25" t="s">
        <v>289</v>
      </c>
      <c r="B45" s="26" t="s">
        <v>257</v>
      </c>
      <c r="C45" s="26" t="s">
        <v>474</v>
      </c>
      <c r="D45" s="26" t="s">
        <v>259</v>
      </c>
      <c r="E45" s="26" t="s">
        <v>475</v>
      </c>
      <c r="F45" s="27"/>
      <c r="G45" s="11"/>
      <c r="H45" s="11"/>
    </row>
    <row r="46" spans="1:8" ht="15" customHeight="1">
      <c r="A46" s="25" t="s">
        <v>292</v>
      </c>
      <c r="B46" s="26" t="s">
        <v>257</v>
      </c>
      <c r="C46" s="26" t="s">
        <v>476</v>
      </c>
      <c r="D46" s="26" t="s">
        <v>477</v>
      </c>
      <c r="E46" s="26" t="s">
        <v>478</v>
      </c>
      <c r="F46" s="27"/>
      <c r="G46" s="11"/>
      <c r="H46" s="11"/>
    </row>
    <row r="47" spans="1:8" ht="15" customHeight="1">
      <c r="A47" s="25" t="s">
        <v>295</v>
      </c>
      <c r="B47" s="26" t="s">
        <v>257</v>
      </c>
      <c r="C47" s="26" t="s">
        <v>479</v>
      </c>
      <c r="D47" s="26" t="s">
        <v>480</v>
      </c>
      <c r="E47" s="26" t="s">
        <v>481</v>
      </c>
      <c r="F47" s="27"/>
      <c r="G47" s="11"/>
      <c r="H47" s="11"/>
    </row>
    <row r="48" spans="1:8" ht="15" customHeight="1">
      <c r="A48" s="25" t="s">
        <v>299</v>
      </c>
      <c r="B48" s="26" t="s">
        <v>257</v>
      </c>
      <c r="C48" s="26" t="s">
        <v>482</v>
      </c>
      <c r="D48" s="26" t="s">
        <v>483</v>
      </c>
      <c r="E48" s="26" t="s">
        <v>484</v>
      </c>
      <c r="F48" s="27"/>
      <c r="G48" s="11"/>
      <c r="H48" s="11"/>
    </row>
    <row r="49" spans="1:8" ht="15" customHeight="1">
      <c r="A49" s="25" t="s">
        <v>485</v>
      </c>
      <c r="B49" s="26" t="s">
        <v>257</v>
      </c>
      <c r="C49" s="26" t="s">
        <v>486</v>
      </c>
      <c r="D49" s="26" t="s">
        <v>487</v>
      </c>
      <c r="E49" s="26" t="s">
        <v>488</v>
      </c>
      <c r="F49" s="27"/>
      <c r="G49" s="11"/>
      <c r="H49" s="11"/>
    </row>
    <row r="50" spans="1:8" ht="15" customHeight="1">
      <c r="A50" s="25" t="s">
        <v>489</v>
      </c>
      <c r="B50" s="26" t="s">
        <v>490</v>
      </c>
      <c r="C50" s="26" t="s">
        <v>491</v>
      </c>
      <c r="D50" s="26" t="s">
        <v>492</v>
      </c>
      <c r="E50" s="26" t="s">
        <v>493</v>
      </c>
      <c r="F50" s="27"/>
      <c r="G50" s="11"/>
      <c r="H50" s="11"/>
    </row>
    <row r="51" spans="1:8" ht="15" customHeight="1">
      <c r="A51" s="25" t="s">
        <v>494</v>
      </c>
      <c r="B51" s="26" t="s">
        <v>257</v>
      </c>
      <c r="C51" s="26" t="s">
        <v>495</v>
      </c>
      <c r="D51" s="26" t="s">
        <v>496</v>
      </c>
      <c r="E51" s="26" t="s">
        <v>298</v>
      </c>
      <c r="F51" s="27"/>
      <c r="G51" s="11"/>
      <c r="H51" s="11"/>
    </row>
    <row r="52" spans="1:8" ht="15" customHeight="1">
      <c r="A52" s="20" t="s">
        <v>497</v>
      </c>
      <c r="B52" s="21" t="s">
        <v>257</v>
      </c>
      <c r="C52" s="21" t="s">
        <v>498</v>
      </c>
      <c r="D52" s="21" t="s">
        <v>269</v>
      </c>
      <c r="E52" s="21" t="s">
        <v>499</v>
      </c>
      <c r="F52" s="22"/>
      <c r="G52" s="11"/>
      <c r="H52" s="11"/>
    </row>
    <row r="53" spans="1:8" ht="15" customHeight="1">
      <c r="A53" s="11"/>
      <c r="B53" s="11"/>
      <c r="C53" s="11"/>
      <c r="D53" s="11"/>
      <c r="E53" s="11"/>
      <c r="F53" s="11"/>
      <c r="G53" s="11"/>
      <c r="H53" s="11"/>
    </row>
    <row r="54" spans="1:8" ht="15" customHeight="1">
      <c r="A54" s="33" t="s">
        <v>303</v>
      </c>
      <c r="B54" s="33"/>
      <c r="C54" s="33"/>
      <c r="D54" s="33"/>
      <c r="E54" s="33"/>
      <c r="F54" s="33"/>
      <c r="G54" s="11"/>
      <c r="H54" s="11"/>
    </row>
    <row r="55" spans="1:8" ht="15" customHeight="1">
      <c r="A55" s="12" t="s">
        <v>304</v>
      </c>
      <c r="B55" s="12" t="s">
        <v>305</v>
      </c>
      <c r="C55" s="12" t="s">
        <v>306</v>
      </c>
      <c r="D55" s="12" t="s">
        <v>307</v>
      </c>
      <c r="E55" s="12" t="s">
        <v>308</v>
      </c>
      <c r="F55" s="12" t="s">
        <v>309</v>
      </c>
      <c r="G55" s="11"/>
      <c r="H55" s="11"/>
    </row>
    <row r="56" spans="1:8" ht="52.65" customHeight="1">
      <c r="A56" s="15" t="s">
        <v>500</v>
      </c>
      <c r="B56" s="16" t="s">
        <v>501</v>
      </c>
      <c r="C56" s="16" t="s">
        <v>329</v>
      </c>
      <c r="D56" s="16" t="s">
        <v>502</v>
      </c>
      <c r="E56" s="16" t="s">
        <v>314</v>
      </c>
      <c r="F56" s="17" t="s">
        <v>331</v>
      </c>
      <c r="G56" s="11"/>
      <c r="H56" s="11"/>
    </row>
    <row r="57" spans="1:8" ht="39.6" customHeight="1">
      <c r="A57" s="25" t="s">
        <v>503</v>
      </c>
      <c r="B57" s="26" t="s">
        <v>504</v>
      </c>
      <c r="C57" s="26" t="s">
        <v>60</v>
      </c>
      <c r="D57" s="26" t="s">
        <v>505</v>
      </c>
      <c r="E57" s="26" t="s">
        <v>314</v>
      </c>
      <c r="F57" s="27" t="s">
        <v>506</v>
      </c>
      <c r="G57" s="11"/>
      <c r="H57" s="11"/>
    </row>
    <row r="58" spans="1:8" ht="39.6" customHeight="1">
      <c r="A58" s="25" t="s">
        <v>507</v>
      </c>
      <c r="B58" s="26" t="s">
        <v>508</v>
      </c>
      <c r="C58" s="26" t="s">
        <v>60</v>
      </c>
      <c r="D58" s="26" t="s">
        <v>509</v>
      </c>
      <c r="E58" s="26" t="s">
        <v>314</v>
      </c>
      <c r="F58" s="27" t="s">
        <v>318</v>
      </c>
      <c r="G58" s="11"/>
      <c r="H58" s="11"/>
    </row>
    <row r="59" spans="1:8" ht="39.6" customHeight="1">
      <c r="A59" s="25" t="s">
        <v>510</v>
      </c>
      <c r="B59" s="26" t="s">
        <v>511</v>
      </c>
      <c r="C59" s="26" t="s">
        <v>60</v>
      </c>
      <c r="D59" s="26" t="s">
        <v>512</v>
      </c>
      <c r="E59" s="26" t="s">
        <v>314</v>
      </c>
      <c r="F59" s="27" t="s">
        <v>513</v>
      </c>
      <c r="G59" s="11"/>
      <c r="H59" s="11"/>
    </row>
    <row r="60" spans="1:8" ht="52.65" customHeight="1">
      <c r="A60" s="25" t="s">
        <v>514</v>
      </c>
      <c r="B60" s="26" t="s">
        <v>515</v>
      </c>
      <c r="C60" s="26" t="s">
        <v>60</v>
      </c>
      <c r="D60" s="26" t="s">
        <v>516</v>
      </c>
      <c r="E60" s="26" t="s">
        <v>314</v>
      </c>
      <c r="F60" s="27" t="s">
        <v>335</v>
      </c>
      <c r="G60" s="11"/>
      <c r="H60" s="11"/>
    </row>
    <row r="61" spans="1:8" ht="39.6" customHeight="1">
      <c r="A61" s="25" t="s">
        <v>517</v>
      </c>
      <c r="B61" s="26" t="s">
        <v>518</v>
      </c>
      <c r="C61" s="26" t="s">
        <v>60</v>
      </c>
      <c r="D61" s="26" t="s">
        <v>427</v>
      </c>
      <c r="E61" s="26" t="s">
        <v>314</v>
      </c>
      <c r="F61" s="27" t="s">
        <v>519</v>
      </c>
      <c r="G61" s="11"/>
      <c r="H61" s="11"/>
    </row>
    <row r="62" spans="1:8" ht="79.2" customHeight="1">
      <c r="A62" s="20" t="s">
        <v>520</v>
      </c>
      <c r="B62" s="21" t="s">
        <v>521</v>
      </c>
      <c r="C62" s="21" t="s">
        <v>60</v>
      </c>
      <c r="D62" s="21" t="s">
        <v>423</v>
      </c>
      <c r="E62" s="21" t="s">
        <v>314</v>
      </c>
      <c r="F62" s="22" t="s">
        <v>522</v>
      </c>
      <c r="G62" s="11"/>
      <c r="H62" s="11"/>
    </row>
  </sheetData>
  <mergeCells count="4">
    <mergeCell ref="A1:H2"/>
    <mergeCell ref="A14:H14"/>
    <mergeCell ref="A35:F35"/>
    <mergeCell ref="A54:F5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25"/>
  <sheetViews>
    <sheetView topLeftCell="A9" zoomScale="85" zoomScaleNormal="85" workbookViewId="0">
      <selection activeCell="E25" sqref="E25"/>
    </sheetView>
  </sheetViews>
  <sheetFormatPr defaultRowHeight="13.8"/>
  <cols>
    <col min="1" max="1" width="4.5" customWidth="1"/>
    <col min="2" max="2" width="4.09765625" customWidth="1"/>
    <col min="3" max="3" width="14" customWidth="1"/>
    <col min="4" max="4" width="18" customWidth="1"/>
    <col min="5" max="5" width="22" customWidth="1"/>
    <col min="6" max="6" width="52" customWidth="1"/>
    <col min="7" max="7" width="34" customWidth="1"/>
  </cols>
  <sheetData>
    <row r="1" spans="1:7">
      <c r="A1" s="34" t="s">
        <v>523</v>
      </c>
      <c r="B1" s="34"/>
      <c r="C1" s="34"/>
      <c r="D1" s="34"/>
      <c r="E1" s="34"/>
      <c r="F1" s="34"/>
      <c r="G1" s="34"/>
    </row>
    <row r="2" spans="1:7">
      <c r="A2" s="34"/>
      <c r="B2" s="34"/>
      <c r="C2" s="34"/>
      <c r="D2" s="34"/>
      <c r="E2" s="34"/>
      <c r="F2" s="34"/>
      <c r="G2" s="34"/>
    </row>
    <row r="3" spans="1:7" ht="14.4">
      <c r="A3" s="35" t="s">
        <v>524</v>
      </c>
      <c r="B3" s="35"/>
      <c r="C3" s="35"/>
      <c r="D3" s="35"/>
      <c r="E3" s="35"/>
      <c r="F3" s="35"/>
      <c r="G3" s="35"/>
    </row>
    <row r="5" spans="1:7" ht="15" customHeight="1">
      <c r="A5" s="1" t="s">
        <v>146</v>
      </c>
      <c r="B5" s="1" t="s">
        <v>53</v>
      </c>
      <c r="C5" s="1" t="s">
        <v>251</v>
      </c>
      <c r="D5" s="1" t="s">
        <v>525</v>
      </c>
      <c r="E5" s="1" t="s">
        <v>526</v>
      </c>
      <c r="F5" s="1" t="s">
        <v>527</v>
      </c>
      <c r="G5" s="1" t="s">
        <v>528</v>
      </c>
    </row>
    <row r="6" spans="1:7" ht="15" hidden="1" customHeight="1">
      <c r="A6" s="2">
        <v>1</v>
      </c>
      <c r="B6" s="3" t="s">
        <v>12</v>
      </c>
      <c r="C6" s="3" t="s">
        <v>529</v>
      </c>
      <c r="D6" s="3" t="s">
        <v>525</v>
      </c>
      <c r="E6" s="3" t="s">
        <v>530</v>
      </c>
      <c r="F6" s="3" t="s">
        <v>531</v>
      </c>
      <c r="G6" s="4" t="s">
        <v>532</v>
      </c>
    </row>
    <row r="7" spans="1:7" ht="26.4" hidden="1" customHeight="1">
      <c r="A7" s="8">
        <v>2</v>
      </c>
      <c r="B7" s="9" t="s">
        <v>12</v>
      </c>
      <c r="C7" s="9" t="s">
        <v>529</v>
      </c>
      <c r="D7" s="9" t="s">
        <v>525</v>
      </c>
      <c r="E7" s="9" t="s">
        <v>194</v>
      </c>
      <c r="F7" s="9" t="s">
        <v>533</v>
      </c>
      <c r="G7" s="10" t="s">
        <v>534</v>
      </c>
    </row>
    <row r="8" spans="1:7" ht="26.4" hidden="1" customHeight="1">
      <c r="A8" s="8">
        <v>3</v>
      </c>
      <c r="B8" s="9" t="s">
        <v>12</v>
      </c>
      <c r="C8" s="9" t="s">
        <v>529</v>
      </c>
      <c r="D8" s="9" t="s">
        <v>525</v>
      </c>
      <c r="E8" s="9" t="s">
        <v>227</v>
      </c>
      <c r="F8" s="9" t="s">
        <v>535</v>
      </c>
      <c r="G8" s="10" t="s">
        <v>536</v>
      </c>
    </row>
    <row r="9" spans="1:7" ht="15" customHeight="1">
      <c r="A9" s="8">
        <v>4</v>
      </c>
      <c r="B9" s="9" t="s">
        <v>18</v>
      </c>
      <c r="C9" s="9" t="s">
        <v>529</v>
      </c>
      <c r="D9" s="9" t="s">
        <v>525</v>
      </c>
      <c r="E9" s="9" t="s">
        <v>357</v>
      </c>
      <c r="F9" s="9" t="s">
        <v>537</v>
      </c>
      <c r="G9" s="10" t="s">
        <v>538</v>
      </c>
    </row>
    <row r="10" spans="1:7" ht="15" customHeight="1">
      <c r="A10" s="8">
        <v>5</v>
      </c>
      <c r="B10" s="9" t="s">
        <v>18</v>
      </c>
      <c r="C10" s="9" t="s">
        <v>529</v>
      </c>
      <c r="D10" s="9" t="s">
        <v>525</v>
      </c>
      <c r="E10" s="9" t="s">
        <v>395</v>
      </c>
      <c r="F10" s="9" t="s">
        <v>539</v>
      </c>
      <c r="G10" s="10" t="s">
        <v>540</v>
      </c>
    </row>
    <row r="11" spans="1:7" ht="26.4" hidden="1" customHeight="1">
      <c r="A11" s="8">
        <v>6</v>
      </c>
      <c r="B11" s="9" t="s">
        <v>12</v>
      </c>
      <c r="C11" s="9" t="s">
        <v>529</v>
      </c>
      <c r="D11" s="9" t="s">
        <v>541</v>
      </c>
      <c r="E11" s="9" t="s">
        <v>187</v>
      </c>
      <c r="F11" s="9" t="s">
        <v>542</v>
      </c>
      <c r="G11" s="10" t="s">
        <v>543</v>
      </c>
    </row>
    <row r="12" spans="1:7" ht="15" hidden="1" customHeight="1">
      <c r="A12" s="8">
        <v>7</v>
      </c>
      <c r="B12" s="9" t="s">
        <v>12</v>
      </c>
      <c r="C12" s="9" t="s">
        <v>529</v>
      </c>
      <c r="D12" s="9" t="s">
        <v>541</v>
      </c>
      <c r="E12" s="9" t="s">
        <v>544</v>
      </c>
      <c r="F12" s="9" t="s">
        <v>545</v>
      </c>
      <c r="G12" s="10" t="s">
        <v>546</v>
      </c>
    </row>
    <row r="13" spans="1:7" ht="26.4" customHeight="1">
      <c r="A13" s="8">
        <v>8</v>
      </c>
      <c r="B13" s="9" t="s">
        <v>18</v>
      </c>
      <c r="C13" s="9" t="s">
        <v>529</v>
      </c>
      <c r="D13" s="9" t="s">
        <v>541</v>
      </c>
      <c r="E13" s="9" t="s">
        <v>345</v>
      </c>
      <c r="F13" s="9" t="s">
        <v>547</v>
      </c>
      <c r="G13" s="10" t="s">
        <v>548</v>
      </c>
    </row>
    <row r="14" spans="1:7" ht="26.4" customHeight="1">
      <c r="A14" s="8">
        <v>9</v>
      </c>
      <c r="B14" s="9" t="s">
        <v>18</v>
      </c>
      <c r="C14" s="9" t="s">
        <v>529</v>
      </c>
      <c r="D14" s="9" t="s">
        <v>541</v>
      </c>
      <c r="E14" s="9" t="s">
        <v>369</v>
      </c>
      <c r="F14" s="9" t="s">
        <v>549</v>
      </c>
      <c r="G14" s="10" t="s">
        <v>550</v>
      </c>
    </row>
    <row r="15" spans="1:7" ht="15" customHeight="1">
      <c r="A15" s="8">
        <v>10</v>
      </c>
      <c r="B15" s="9" t="s">
        <v>18</v>
      </c>
      <c r="C15" s="9" t="s">
        <v>529</v>
      </c>
      <c r="D15" s="9" t="s">
        <v>541</v>
      </c>
      <c r="E15" s="9" t="s">
        <v>551</v>
      </c>
      <c r="F15" s="9" t="s">
        <v>552</v>
      </c>
      <c r="G15" s="10" t="s">
        <v>553</v>
      </c>
    </row>
    <row r="16" spans="1:7" ht="26.4" hidden="1" customHeight="1">
      <c r="A16" s="8">
        <v>11</v>
      </c>
      <c r="B16" s="9" t="s">
        <v>12</v>
      </c>
      <c r="C16" s="9" t="s">
        <v>554</v>
      </c>
      <c r="D16" s="9" t="s">
        <v>525</v>
      </c>
      <c r="E16" s="9" t="s">
        <v>555</v>
      </c>
      <c r="F16" s="9" t="s">
        <v>556</v>
      </c>
      <c r="G16" s="10" t="s">
        <v>557</v>
      </c>
    </row>
    <row r="17" spans="1:7" ht="15" hidden="1" customHeight="1">
      <c r="A17" s="8">
        <v>12</v>
      </c>
      <c r="B17" s="9" t="s">
        <v>12</v>
      </c>
      <c r="C17" s="9" t="s">
        <v>554</v>
      </c>
      <c r="D17" s="9" t="s">
        <v>525</v>
      </c>
      <c r="E17" s="9" t="s">
        <v>530</v>
      </c>
      <c r="F17" s="9" t="s">
        <v>558</v>
      </c>
      <c r="G17" s="10" t="s">
        <v>559</v>
      </c>
    </row>
    <row r="18" spans="1:7" ht="26.4" hidden="1" customHeight="1">
      <c r="A18" s="8">
        <v>13</v>
      </c>
      <c r="B18" s="9" t="s">
        <v>12</v>
      </c>
      <c r="C18" s="9" t="s">
        <v>554</v>
      </c>
      <c r="D18" s="9" t="s">
        <v>525</v>
      </c>
      <c r="E18" s="9" t="s">
        <v>560</v>
      </c>
      <c r="F18" s="9" t="s">
        <v>561</v>
      </c>
      <c r="G18" s="10" t="s">
        <v>562</v>
      </c>
    </row>
    <row r="19" spans="1:7" ht="26.4" customHeight="1">
      <c r="A19" s="8">
        <v>14</v>
      </c>
      <c r="B19" s="9" t="s">
        <v>18</v>
      </c>
      <c r="C19" s="9" t="s">
        <v>554</v>
      </c>
      <c r="D19" s="9" t="s">
        <v>525</v>
      </c>
      <c r="E19" s="9" t="s">
        <v>357</v>
      </c>
      <c r="F19" s="9" t="s">
        <v>563</v>
      </c>
      <c r="G19" s="10" t="s">
        <v>564</v>
      </c>
    </row>
    <row r="20" spans="1:7" ht="15" customHeight="1">
      <c r="A20" s="8">
        <v>15</v>
      </c>
      <c r="B20" s="9" t="s">
        <v>18</v>
      </c>
      <c r="C20" s="9" t="s">
        <v>554</v>
      </c>
      <c r="D20" s="9" t="s">
        <v>525</v>
      </c>
      <c r="E20" s="9" t="s">
        <v>395</v>
      </c>
      <c r="F20" s="9" t="s">
        <v>565</v>
      </c>
      <c r="G20" s="10" t="s">
        <v>566</v>
      </c>
    </row>
    <row r="21" spans="1:7" ht="26.4" hidden="1" customHeight="1">
      <c r="A21" s="8">
        <v>16</v>
      </c>
      <c r="B21" s="9" t="s">
        <v>12</v>
      </c>
      <c r="C21" s="9" t="s">
        <v>554</v>
      </c>
      <c r="D21" s="9" t="s">
        <v>541</v>
      </c>
      <c r="E21" s="9" t="s">
        <v>194</v>
      </c>
      <c r="F21" s="9" t="s">
        <v>567</v>
      </c>
      <c r="G21" s="10" t="s">
        <v>568</v>
      </c>
    </row>
    <row r="22" spans="1:7" ht="15" hidden="1" customHeight="1">
      <c r="A22" s="8">
        <v>17</v>
      </c>
      <c r="B22" s="9" t="s">
        <v>12</v>
      </c>
      <c r="C22" s="9" t="s">
        <v>554</v>
      </c>
      <c r="D22" s="9" t="s">
        <v>541</v>
      </c>
      <c r="E22" s="9" t="s">
        <v>214</v>
      </c>
      <c r="F22" s="9" t="s">
        <v>569</v>
      </c>
      <c r="G22" s="10" t="s">
        <v>570</v>
      </c>
    </row>
    <row r="23" spans="1:7" ht="26.4" customHeight="1">
      <c r="A23" s="8">
        <v>18</v>
      </c>
      <c r="B23" s="9" t="s">
        <v>18</v>
      </c>
      <c r="C23" s="9" t="s">
        <v>554</v>
      </c>
      <c r="D23" s="9" t="s">
        <v>541</v>
      </c>
      <c r="E23" s="9" t="s">
        <v>571</v>
      </c>
      <c r="F23" s="9" t="s">
        <v>572</v>
      </c>
      <c r="G23" s="10" t="s">
        <v>510</v>
      </c>
    </row>
    <row r="24" spans="1:7" ht="26.4" customHeight="1">
      <c r="A24" s="8">
        <v>19</v>
      </c>
      <c r="B24" s="9" t="s">
        <v>18</v>
      </c>
      <c r="C24" s="9" t="s">
        <v>554</v>
      </c>
      <c r="D24" s="9" t="s">
        <v>541</v>
      </c>
      <c r="E24" s="9" t="s">
        <v>369</v>
      </c>
      <c r="F24" s="9" t="s">
        <v>573</v>
      </c>
      <c r="G24" s="10" t="s">
        <v>574</v>
      </c>
    </row>
    <row r="25" spans="1:7" ht="26.4" customHeight="1">
      <c r="A25" s="5">
        <v>20</v>
      </c>
      <c r="B25" s="6" t="s">
        <v>18</v>
      </c>
      <c r="C25" s="6" t="s">
        <v>554</v>
      </c>
      <c r="D25" s="6" t="s">
        <v>541</v>
      </c>
      <c r="E25" s="6" t="s">
        <v>575</v>
      </c>
      <c r="F25" s="6" t="s">
        <v>576</v>
      </c>
      <c r="G25" s="7" t="s">
        <v>577</v>
      </c>
    </row>
  </sheetData>
  <autoFilter ref="A5:G25">
    <filterColumn colId="1">
      <filters>
        <filter val="10"/>
      </filters>
    </filterColumn>
  </autoFilter>
  <mergeCells count="2">
    <mergeCell ref="A1:G2"/>
    <mergeCell ref="A3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zoomScale="75" zoomScaleNormal="75" workbookViewId="0">
      <selection activeCell="C6" sqref="C6"/>
    </sheetView>
  </sheetViews>
  <sheetFormatPr defaultRowHeight="13.8"/>
  <cols>
    <col min="1" max="1" width="5.09765625" customWidth="1"/>
    <col min="2" max="2" width="22.3984375" customWidth="1"/>
    <col min="3" max="3" width="39.19921875" customWidth="1"/>
    <col min="4" max="5" width="28" customWidth="1"/>
    <col min="6" max="6" width="30" customWidth="1"/>
    <col min="7" max="7" width="16" customWidth="1"/>
  </cols>
  <sheetData>
    <row r="1" spans="1:7">
      <c r="A1" s="34" t="s">
        <v>578</v>
      </c>
      <c r="B1" s="34"/>
      <c r="C1" s="34"/>
      <c r="D1" s="34"/>
      <c r="E1" s="34"/>
      <c r="F1" s="34"/>
      <c r="G1" s="34"/>
    </row>
    <row r="2" spans="1:7">
      <c r="A2" s="34"/>
      <c r="B2" s="34"/>
      <c r="C2" s="34"/>
      <c r="D2" s="34"/>
      <c r="E2" s="34"/>
      <c r="F2" s="34"/>
      <c r="G2" s="34"/>
    </row>
    <row r="4" spans="1:7" ht="15" customHeight="1">
      <c r="A4" s="1" t="s">
        <v>146</v>
      </c>
      <c r="B4" s="1" t="s">
        <v>579</v>
      </c>
      <c r="C4" s="1" t="s">
        <v>580</v>
      </c>
      <c r="D4" s="1" t="s">
        <v>581</v>
      </c>
      <c r="E4" s="1" t="s">
        <v>582</v>
      </c>
      <c r="F4" s="1" t="s">
        <v>583</v>
      </c>
      <c r="G4" s="1" t="s">
        <v>59</v>
      </c>
    </row>
    <row r="5" spans="1:7" ht="26.4" customHeight="1">
      <c r="A5" s="2">
        <v>1</v>
      </c>
      <c r="B5" s="3" t="s">
        <v>147</v>
      </c>
      <c r="C5" s="3" t="s">
        <v>584</v>
      </c>
      <c r="D5" s="3" t="s">
        <v>585</v>
      </c>
      <c r="E5" s="3" t="s">
        <v>586</v>
      </c>
      <c r="F5" s="3" t="s">
        <v>587</v>
      </c>
      <c r="G5" s="4" t="s">
        <v>69</v>
      </c>
    </row>
    <row r="6" spans="1:7">
      <c r="A6" s="8">
        <v>2</v>
      </c>
      <c r="B6" s="9" t="s">
        <v>588</v>
      </c>
      <c r="C6" s="9" t="s">
        <v>589</v>
      </c>
      <c r="D6" s="9" t="s">
        <v>590</v>
      </c>
      <c r="E6" s="9" t="s">
        <v>591</v>
      </c>
      <c r="F6" s="9" t="s">
        <v>587</v>
      </c>
      <c r="G6" s="10" t="s">
        <v>69</v>
      </c>
    </row>
    <row r="7" spans="1:7" ht="15" customHeight="1">
      <c r="A7" s="8">
        <v>3</v>
      </c>
      <c r="B7" s="9" t="s">
        <v>592</v>
      </c>
      <c r="C7" s="9" t="s">
        <v>593</v>
      </c>
      <c r="D7" s="9" t="s">
        <v>594</v>
      </c>
      <c r="E7" s="9" t="s">
        <v>595</v>
      </c>
      <c r="F7" s="9" t="s">
        <v>587</v>
      </c>
      <c r="G7" s="10" t="s">
        <v>69</v>
      </c>
    </row>
    <row r="8" spans="1:7" ht="26.4" customHeight="1">
      <c r="A8" s="8">
        <v>4</v>
      </c>
      <c r="B8" s="9" t="s">
        <v>596</v>
      </c>
      <c r="C8" s="9" t="s">
        <v>597</v>
      </c>
      <c r="D8" s="9" t="s">
        <v>598</v>
      </c>
      <c r="E8" s="9" t="s">
        <v>599</v>
      </c>
      <c r="F8" s="9" t="s">
        <v>587</v>
      </c>
      <c r="G8" s="10" t="s">
        <v>69</v>
      </c>
    </row>
    <row r="9" spans="1:7" ht="15" customHeight="1">
      <c r="A9" s="8">
        <v>5</v>
      </c>
      <c r="B9" s="9" t="s">
        <v>600</v>
      </c>
      <c r="C9" s="9" t="s">
        <v>601</v>
      </c>
      <c r="D9" s="9" t="s">
        <v>602</v>
      </c>
      <c r="E9" s="9" t="s">
        <v>602</v>
      </c>
      <c r="F9" s="9" t="s">
        <v>603</v>
      </c>
      <c r="G9" s="10" t="s">
        <v>69</v>
      </c>
    </row>
    <row r="10" spans="1:7" ht="15" customHeight="1">
      <c r="A10" s="8">
        <v>6</v>
      </c>
      <c r="B10" s="9" t="s">
        <v>604</v>
      </c>
      <c r="C10" s="9" t="s">
        <v>605</v>
      </c>
      <c r="D10" s="9" t="s">
        <v>606</v>
      </c>
      <c r="E10" s="9" t="s">
        <v>606</v>
      </c>
      <c r="F10" s="9" t="s">
        <v>607</v>
      </c>
      <c r="G10" s="10" t="s">
        <v>69</v>
      </c>
    </row>
    <row r="11" spans="1:7" ht="15" customHeight="1">
      <c r="A11" s="8">
        <v>7</v>
      </c>
      <c r="B11" s="9" t="s">
        <v>608</v>
      </c>
      <c r="C11" s="9" t="s">
        <v>609</v>
      </c>
      <c r="D11" s="9" t="s">
        <v>610</v>
      </c>
      <c r="E11" s="9" t="s">
        <v>610</v>
      </c>
      <c r="F11" s="9" t="s">
        <v>611</v>
      </c>
      <c r="G11" s="10" t="s">
        <v>69</v>
      </c>
    </row>
    <row r="12" spans="1:7" ht="15" customHeight="1">
      <c r="A12" s="8">
        <v>8</v>
      </c>
      <c r="B12" s="9" t="s">
        <v>612</v>
      </c>
      <c r="C12" s="9" t="s">
        <v>613</v>
      </c>
      <c r="D12" s="9" t="s">
        <v>614</v>
      </c>
      <c r="E12" s="9" t="s">
        <v>614</v>
      </c>
      <c r="F12" s="9" t="s">
        <v>587</v>
      </c>
      <c r="G12" s="10" t="s">
        <v>69</v>
      </c>
    </row>
    <row r="13" spans="1:7" ht="15" customHeight="1">
      <c r="A13" s="8">
        <v>9</v>
      </c>
      <c r="B13" s="9" t="s">
        <v>615</v>
      </c>
      <c r="C13" s="9" t="s">
        <v>613</v>
      </c>
      <c r="D13" s="9" t="s">
        <v>614</v>
      </c>
      <c r="E13" s="9" t="s">
        <v>614</v>
      </c>
      <c r="F13" s="9" t="s">
        <v>587</v>
      </c>
      <c r="G13" s="10" t="s">
        <v>69</v>
      </c>
    </row>
    <row r="14" spans="1:7" ht="15" customHeight="1">
      <c r="A14" s="8">
        <v>10</v>
      </c>
      <c r="B14" s="9" t="s">
        <v>616</v>
      </c>
      <c r="C14" s="9" t="s">
        <v>617</v>
      </c>
      <c r="D14" s="9" t="s">
        <v>618</v>
      </c>
      <c r="E14" s="9" t="s">
        <v>619</v>
      </c>
      <c r="F14" s="9" t="s">
        <v>620</v>
      </c>
      <c r="G14" s="10" t="s">
        <v>69</v>
      </c>
    </row>
    <row r="15" spans="1:7" ht="15" customHeight="1">
      <c r="A15" s="8">
        <v>11</v>
      </c>
      <c r="B15" s="9" t="s">
        <v>621</v>
      </c>
      <c r="C15" s="9" t="s">
        <v>622</v>
      </c>
      <c r="D15" s="9" t="s">
        <v>623</v>
      </c>
      <c r="E15" s="9" t="s">
        <v>623</v>
      </c>
      <c r="F15" s="9" t="s">
        <v>620</v>
      </c>
      <c r="G15" s="10" t="s">
        <v>69</v>
      </c>
    </row>
    <row r="16" spans="1:7" ht="15" customHeight="1">
      <c r="A16" s="8">
        <v>12</v>
      </c>
      <c r="B16" s="9" t="s">
        <v>624</v>
      </c>
      <c r="C16" s="9" t="s">
        <v>625</v>
      </c>
      <c r="D16" s="9" t="s">
        <v>626</v>
      </c>
      <c r="E16" s="9" t="s">
        <v>626</v>
      </c>
      <c r="F16" s="9" t="s">
        <v>620</v>
      </c>
      <c r="G16" s="10" t="s">
        <v>69</v>
      </c>
    </row>
    <row r="17" spans="1:7" ht="15" customHeight="1">
      <c r="A17" s="8">
        <v>13</v>
      </c>
      <c r="B17" s="9" t="s">
        <v>627</v>
      </c>
      <c r="C17" s="9" t="s">
        <v>628</v>
      </c>
      <c r="D17" s="9" t="s">
        <v>629</v>
      </c>
      <c r="E17" s="9" t="s">
        <v>630</v>
      </c>
      <c r="F17" s="9" t="s">
        <v>620</v>
      </c>
      <c r="G17" s="10" t="s">
        <v>69</v>
      </c>
    </row>
    <row r="18" spans="1:7" ht="15" customHeight="1">
      <c r="A18" s="8">
        <v>14</v>
      </c>
      <c r="B18" s="9" t="s">
        <v>51</v>
      </c>
      <c r="C18" s="9" t="s">
        <v>631</v>
      </c>
      <c r="D18" s="9" t="s">
        <v>632</v>
      </c>
      <c r="E18" s="9" t="s">
        <v>633</v>
      </c>
      <c r="F18" s="9" t="s">
        <v>634</v>
      </c>
      <c r="G18" s="10" t="s">
        <v>69</v>
      </c>
    </row>
    <row r="19" spans="1:7" ht="15" customHeight="1">
      <c r="A19" s="8">
        <v>15</v>
      </c>
      <c r="B19" s="9" t="s">
        <v>635</v>
      </c>
      <c r="C19" s="9" t="s">
        <v>631</v>
      </c>
      <c r="D19" s="9" t="s">
        <v>636</v>
      </c>
      <c r="E19" s="9" t="s">
        <v>637</v>
      </c>
      <c r="F19" s="9" t="s">
        <v>634</v>
      </c>
      <c r="G19" s="10" t="s">
        <v>69</v>
      </c>
    </row>
    <row r="20" spans="1:7" ht="15" customHeight="1">
      <c r="A20" s="8">
        <v>16</v>
      </c>
      <c r="B20" s="9" t="s">
        <v>638</v>
      </c>
      <c r="C20" s="9" t="s">
        <v>631</v>
      </c>
      <c r="D20" s="9" t="s">
        <v>639</v>
      </c>
      <c r="E20" s="9" t="s">
        <v>640</v>
      </c>
      <c r="F20" s="9" t="s">
        <v>634</v>
      </c>
      <c r="G20" s="10" t="s">
        <v>69</v>
      </c>
    </row>
    <row r="21" spans="1:7" ht="15" customHeight="1">
      <c r="A21" s="8">
        <v>17</v>
      </c>
      <c r="B21" s="9" t="s">
        <v>641</v>
      </c>
      <c r="C21" s="9" t="s">
        <v>642</v>
      </c>
      <c r="D21" s="9" t="s">
        <v>643</v>
      </c>
      <c r="E21" s="9" t="s">
        <v>643</v>
      </c>
      <c r="F21" s="9" t="s">
        <v>634</v>
      </c>
      <c r="G21" s="10" t="s">
        <v>69</v>
      </c>
    </row>
    <row r="22" spans="1:7" ht="26.4" customHeight="1">
      <c r="A22" s="8">
        <v>18</v>
      </c>
      <c r="B22" s="9" t="s">
        <v>644</v>
      </c>
      <c r="C22" s="9" t="s">
        <v>645</v>
      </c>
      <c r="D22" s="9" t="s">
        <v>646</v>
      </c>
      <c r="E22" s="9" t="s">
        <v>646</v>
      </c>
      <c r="F22" s="9" t="s">
        <v>647</v>
      </c>
      <c r="G22" s="10" t="s">
        <v>69</v>
      </c>
    </row>
    <row r="23" spans="1:7" ht="15" customHeight="1">
      <c r="A23" s="5">
        <v>19</v>
      </c>
      <c r="B23" s="6" t="s">
        <v>648</v>
      </c>
      <c r="C23" s="6" t="s">
        <v>649</v>
      </c>
      <c r="D23" s="6" t="s">
        <v>650</v>
      </c>
      <c r="E23" s="6" t="s">
        <v>650</v>
      </c>
      <c r="F23" s="6" t="s">
        <v>651</v>
      </c>
      <c r="G23" s="7" t="s">
        <v>69</v>
      </c>
    </row>
  </sheetData>
  <mergeCells count="1">
    <mergeCell ref="A1:G2"/>
  </mergeCells>
  <conditionalFormatting sqref="G5:G23">
    <cfRule type="expression" dxfId="1" priority="1">
      <formula>G5="Đạt"</formula>
    </cfRule>
    <cfRule type="expression" dxfId="0" priority="2">
      <formula>G5="Cần sửa"</formula>
    </cfRule>
  </conditionalFormatting>
  <dataValidations count="1">
    <dataValidation type="list" sqref="G5:G23">
      <formula1>"Chưa bắt đầu,Đang làm,Đạt,Cần sửa"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opLeftCell="A10" zoomScale="75" zoomScaleNormal="75" workbookViewId="0">
      <selection activeCell="D15" sqref="D15"/>
    </sheetView>
  </sheetViews>
  <sheetFormatPr defaultRowHeight="13.8"/>
  <cols>
    <col min="1" max="1" width="12" customWidth="1"/>
    <col min="2" max="2" width="34" customWidth="1"/>
    <col min="3" max="3" width="48" customWidth="1"/>
    <col min="4" max="4" width="70" customWidth="1"/>
  </cols>
  <sheetData>
    <row r="1" spans="1:6">
      <c r="A1" s="34" t="s">
        <v>652</v>
      </c>
      <c r="B1" s="34"/>
      <c r="C1" s="34"/>
      <c r="D1" s="34"/>
      <c r="E1" s="34"/>
      <c r="F1" s="34"/>
    </row>
    <row r="2" spans="1:6">
      <c r="A2" s="34"/>
      <c r="B2" s="34"/>
      <c r="C2" s="34"/>
      <c r="D2" s="34"/>
      <c r="E2" s="34"/>
      <c r="F2" s="34"/>
    </row>
    <row r="4" spans="1:6" ht="15" customHeight="1">
      <c r="A4" s="1" t="s">
        <v>653</v>
      </c>
      <c r="B4" s="1" t="s">
        <v>129</v>
      </c>
      <c r="C4" s="1" t="s">
        <v>654</v>
      </c>
    </row>
    <row r="5" spans="1:6" ht="26.4" customHeight="1">
      <c r="A5" s="2" t="s">
        <v>655</v>
      </c>
      <c r="B5" s="3" t="s">
        <v>656</v>
      </c>
      <c r="C5" s="4" t="s">
        <v>89</v>
      </c>
    </row>
    <row r="6" spans="1:6" ht="26.4" customHeight="1">
      <c r="A6" s="8" t="s">
        <v>657</v>
      </c>
      <c r="B6" s="9" t="s">
        <v>658</v>
      </c>
      <c r="C6" s="10" t="s">
        <v>659</v>
      </c>
    </row>
    <row r="7" spans="1:6" ht="26.4" customHeight="1">
      <c r="A7" s="8" t="s">
        <v>660</v>
      </c>
      <c r="B7" s="9" t="s">
        <v>661</v>
      </c>
      <c r="C7" s="10" t="s">
        <v>662</v>
      </c>
    </row>
    <row r="8" spans="1:6" ht="26.4" customHeight="1">
      <c r="A8" s="8" t="s">
        <v>663</v>
      </c>
      <c r="B8" s="9" t="s">
        <v>664</v>
      </c>
      <c r="C8" s="10" t="s">
        <v>665</v>
      </c>
    </row>
    <row r="9" spans="1:6" ht="26.4" customHeight="1">
      <c r="A9" s="8" t="s">
        <v>666</v>
      </c>
      <c r="B9" s="9" t="s">
        <v>667</v>
      </c>
      <c r="C9" s="10" t="s">
        <v>668</v>
      </c>
    </row>
    <row r="10" spans="1:6" ht="39.6" customHeight="1">
      <c r="A10" s="8" t="s">
        <v>608</v>
      </c>
      <c r="B10" s="9" t="s">
        <v>669</v>
      </c>
      <c r="C10" s="10" t="s">
        <v>670</v>
      </c>
    </row>
    <row r="11" spans="1:6" ht="26.4" customHeight="1">
      <c r="A11" s="5" t="s">
        <v>671</v>
      </c>
      <c r="B11" s="6" t="s">
        <v>672</v>
      </c>
      <c r="C11" s="7" t="s">
        <v>673</v>
      </c>
    </row>
    <row r="13" spans="1:6" ht="15" customHeight="1">
      <c r="A13" s="36" t="s">
        <v>674</v>
      </c>
      <c r="B13" s="36"/>
      <c r="C13" s="36"/>
      <c r="D13" s="36"/>
      <c r="E13" s="36"/>
      <c r="F13" s="36"/>
    </row>
    <row r="14" spans="1:6" ht="15" customHeight="1">
      <c r="A14" s="1" t="s">
        <v>53</v>
      </c>
      <c r="B14" s="1" t="s">
        <v>675</v>
      </c>
      <c r="C14" s="1" t="s">
        <v>676</v>
      </c>
      <c r="D14" s="1" t="s">
        <v>677</v>
      </c>
    </row>
    <row r="15" spans="1:6" ht="15" customHeight="1">
      <c r="A15" s="2" t="s">
        <v>12</v>
      </c>
      <c r="B15" s="3" t="s">
        <v>678</v>
      </c>
      <c r="C15" s="3" t="s">
        <v>679</v>
      </c>
      <c r="D15" s="37" t="s">
        <v>680</v>
      </c>
    </row>
    <row r="16" spans="1:6" ht="15" customHeight="1">
      <c r="A16" s="8" t="s">
        <v>12</v>
      </c>
      <c r="B16" s="9" t="s">
        <v>681</v>
      </c>
      <c r="C16" s="9" t="s">
        <v>682</v>
      </c>
      <c r="D16" s="10" t="s">
        <v>683</v>
      </c>
    </row>
    <row r="17" spans="1:4" ht="15" customHeight="1">
      <c r="A17" s="8" t="s">
        <v>12</v>
      </c>
      <c r="B17" s="9" t="s">
        <v>684</v>
      </c>
      <c r="C17" s="9" t="s">
        <v>685</v>
      </c>
      <c r="D17" s="10" t="s">
        <v>686</v>
      </c>
    </row>
    <row r="18" spans="1:4" ht="15" customHeight="1">
      <c r="A18" s="8" t="s">
        <v>18</v>
      </c>
      <c r="B18" s="9" t="s">
        <v>687</v>
      </c>
      <c r="C18" s="9" t="s">
        <v>688</v>
      </c>
      <c r="D18" s="10" t="s">
        <v>689</v>
      </c>
    </row>
    <row r="19" spans="1:4" ht="15" customHeight="1">
      <c r="A19" s="8" t="s">
        <v>18</v>
      </c>
      <c r="B19" s="9" t="s">
        <v>690</v>
      </c>
      <c r="C19" s="9" t="s">
        <v>691</v>
      </c>
      <c r="D19" s="10" t="s">
        <v>692</v>
      </c>
    </row>
    <row r="20" spans="1:4" ht="15" customHeight="1">
      <c r="A20" s="8" t="s">
        <v>18</v>
      </c>
      <c r="B20" s="9" t="s">
        <v>693</v>
      </c>
      <c r="C20" s="9" t="s">
        <v>694</v>
      </c>
      <c r="D20" s="10" t="s">
        <v>695</v>
      </c>
    </row>
    <row r="21" spans="1:4" ht="15" customHeight="1">
      <c r="A21" s="5" t="s">
        <v>18</v>
      </c>
      <c r="B21" s="6" t="s">
        <v>696</v>
      </c>
      <c r="C21" s="6" t="s">
        <v>697</v>
      </c>
      <c r="D21" s="7" t="s">
        <v>698</v>
      </c>
    </row>
  </sheetData>
  <mergeCells count="2">
    <mergeCell ref="A1:F2"/>
    <mergeCell ref="A13:F13"/>
  </mergeCells>
  <hyperlinks>
    <hyperlink ref="D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Tong_quan</vt:lpstr>
      <vt:lpstr>Ke_hoach_10_tuan</vt:lpstr>
      <vt:lpstr>Quy_trinh_06</vt:lpstr>
      <vt:lpstr>Quy_trinh_10</vt:lpstr>
      <vt:lpstr>Cau_hoi_phong_van</vt:lpstr>
      <vt:lpstr>Checklist_Rubric</vt:lpstr>
      <vt:lpstr>GitHub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2026-07-31T11:13:22Z</cp:lastPrinted>
  <dcterms:modified xsi:type="dcterms:W3CDTF">2026-08-01T13:26:38Z</dcterms:modified>
</cp:coreProperties>
</file>